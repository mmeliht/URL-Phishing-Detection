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SER\Desktop\URL-Phishing-Detection\"/>
    </mc:Choice>
  </mc:AlternateContent>
  <xr:revisionPtr revIDLastSave="0" documentId="13_ncr:1_{F30AF91F-DAE0-4D42-85EC-C077DD393E1F}"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ayfa3"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 i="4" l="1"/>
  <c r="C14" i="4"/>
  <c r="C13" i="4"/>
  <c r="C12" i="4"/>
  <c r="C11" i="4"/>
  <c r="C10" i="4"/>
  <c r="C9" i="4"/>
  <c r="C8" i="4"/>
  <c r="C7" i="4"/>
  <c r="C6" i="4"/>
  <c r="C5" i="4"/>
  <c r="C4" i="4"/>
  <c r="C3" i="4"/>
  <c r="C2" i="4"/>
  <c r="B58" i="4"/>
</calcChain>
</file>

<file path=xl/sharedStrings.xml><?xml version="1.0" encoding="utf-8"?>
<sst xmlns="http://schemas.openxmlformats.org/spreadsheetml/2006/main" count="414" uniqueCount="277">
  <si>
    <t>Random Forest,</t>
  </si>
  <si>
    <t>Gradient Boost,</t>
  </si>
  <si>
    <t>AdaBoost,</t>
  </si>
  <si>
    <t>Logistic Regression,</t>
  </si>
  <si>
    <t>Naive Bayes</t>
  </si>
  <si>
    <t>92%,</t>
  </si>
  <si>
    <t>90%,</t>
  </si>
  <si>
    <t>87%,</t>
  </si>
  <si>
    <t>Year</t>
  </si>
  <si>
    <t>Malicious, Phishing
and benign URLs</t>
  </si>
  <si>
    <t>Attention-based bidirectional
independent recurrent network
(Bi-IndRNN),
and capsule network (CapsNet)</t>
  </si>
  <si>
    <t>99.89%</t>
  </si>
  <si>
    <t>Reference</t>
  </si>
  <si>
    <t>URL Classification</t>
  </si>
  <si>
    <t>Classifier / Method</t>
  </si>
  <si>
    <t>Random Forest</t>
  </si>
  <si>
    <t>Gradient Boost</t>
  </si>
  <si>
    <t>Logistic Regression</t>
  </si>
  <si>
    <t>CNN</t>
  </si>
  <si>
    <t>LSTM</t>
  </si>
  <si>
    <t>Phishing and benign URLs</t>
  </si>
  <si>
    <t>GRU</t>
  </si>
  <si>
    <t>SVM</t>
  </si>
  <si>
    <t xml:space="preserve">Result </t>
  </si>
  <si>
    <t>Malicious and
benign URLs</t>
  </si>
  <si>
    <t>SVM,</t>
  </si>
  <si>
    <t>Bagging</t>
  </si>
  <si>
    <t>97.35%</t>
  </si>
  <si>
    <t>Decision Tree,</t>
  </si>
  <si>
    <t>K-Nearest Neighbors (KNN)</t>
  </si>
  <si>
    <t>91.75%,</t>
  </si>
  <si>
    <t>92.15%,</t>
  </si>
  <si>
    <t>90.18%,</t>
  </si>
  <si>
    <t>86.64%</t>
  </si>
  <si>
    <t>CNN,</t>
  </si>
  <si>
    <t>LSTM,</t>
  </si>
  <si>
    <t>Naïve Bayes,</t>
  </si>
  <si>
    <t>95.13%,</t>
  </si>
  <si>
    <t>95.14%,</t>
  </si>
  <si>
    <t>96.01%,</t>
  </si>
  <si>
    <t>95.15%</t>
  </si>
  <si>
    <t>XGBoost,</t>
  </si>
  <si>
    <t>CS-XGBoost,</t>
  </si>
  <si>
    <t>SMOTE+XGBoost</t>
  </si>
  <si>
    <t>97.83%,</t>
  </si>
  <si>
    <t>99.05%,</t>
  </si>
  <si>
    <t>98.43%</t>
  </si>
  <si>
    <t>Malicious URLs using
unbalanced classification</t>
  </si>
  <si>
    <t>DDQN-based classifier,
Deep Reinforcement Learning</t>
  </si>
  <si>
    <t>93.4%</t>
  </si>
  <si>
    <t>Phishing,
benign,
defacement and malware</t>
  </si>
  <si>
    <t>LightGBM,</t>
  </si>
  <si>
    <t>XGBoost</t>
  </si>
  <si>
    <t>96.6%,</t>
  </si>
  <si>
    <t>95.6%,</t>
  </si>
  <si>
    <t>93.2%</t>
  </si>
  <si>
    <t>99.77%,</t>
  </si>
  <si>
    <t>93.39%</t>
  </si>
  <si>
    <t>Good and bad URLs</t>
  </si>
  <si>
    <t>92.38%,</t>
  </si>
  <si>
    <t>87.93%</t>
  </si>
  <si>
    <t>Malicious website</t>
  </si>
  <si>
    <t xml:space="preserve">MM-ComBERT-LMS </t>
  </si>
  <si>
    <t>98.72%</t>
  </si>
  <si>
    <t>Phishing URLs
through parallel processing</t>
  </si>
  <si>
    <t>Naïve Bayes,
CNN,
Random Forest,
LSTM</t>
  </si>
  <si>
    <t xml:space="preserve">Random Forest </t>
  </si>
  <si>
    <t>Malware</t>
  </si>
  <si>
    <t>ELM,</t>
  </si>
  <si>
    <t>ANN</t>
  </si>
  <si>
    <t>97.20%</t>
  </si>
  <si>
    <t>MLP</t>
  </si>
  <si>
    <t>99.62%</t>
  </si>
  <si>
    <t>Phishing website</t>
  </si>
  <si>
    <t>96.6%</t>
  </si>
  <si>
    <t xml:space="preserve">BERT,
NLP,
Deep CNN
</t>
  </si>
  <si>
    <t>97.44%,</t>
  </si>
  <si>
    <t>98.27%,</t>
  </si>
  <si>
    <t>98.21%</t>
  </si>
  <si>
    <t>Malicious URLs
using data mining approach</t>
  </si>
  <si>
    <t>Classification Based on Association (CBA)</t>
  </si>
  <si>
    <t>91.30%</t>
  </si>
  <si>
    <t>Phishing and legitimate URLs</t>
  </si>
  <si>
    <t>Bi-LSTM,</t>
  </si>
  <si>
    <t>97%,</t>
  </si>
  <si>
    <t>99%,</t>
  </si>
  <si>
    <t>97.5%</t>
  </si>
  <si>
    <t>XGBoost,
CS-XGBoost,
SMOTE+XGBoost
FNN (Fuzzy Neural Networks)</t>
  </si>
  <si>
    <t>99.8%</t>
  </si>
  <si>
    <t xml:space="preserve">Malicious website </t>
  </si>
  <si>
    <t>Malicious and safe
URLs</t>
  </si>
  <si>
    <t>Single class SVM</t>
  </si>
  <si>
    <t>86.24%</t>
  </si>
  <si>
    <t>96-97%</t>
  </si>
  <si>
    <t>Random forest,</t>
  </si>
  <si>
    <t>Logistic regression,</t>
  </si>
  <si>
    <t>fast.ai,</t>
  </si>
  <si>
    <t>Keras-TensorFlow(deep learning framework)</t>
  </si>
  <si>
    <t>96.99%</t>
  </si>
  <si>
    <t>97.55%</t>
  </si>
  <si>
    <t>93.81%</t>
  </si>
  <si>
    <t>Malicious or benign
URLs</t>
  </si>
  <si>
    <t>MLP neural network</t>
  </si>
  <si>
    <t>93.26%</t>
  </si>
  <si>
    <t>96.35%</t>
  </si>
  <si>
    <t>Multi-layer filtering model,</t>
  </si>
  <si>
    <t>79.55%</t>
  </si>
  <si>
    <t>77.30%</t>
  </si>
  <si>
    <t>79.35%</t>
  </si>
  <si>
    <t>76.80%</t>
  </si>
  <si>
    <t>92.80%</t>
  </si>
  <si>
    <t>97.32%</t>
  </si>
  <si>
    <t>96.27%</t>
  </si>
  <si>
    <t>Random forest</t>
  </si>
  <si>
    <t>Phishing and benign
URLs</t>
  </si>
  <si>
    <t>86.63%</t>
  </si>
  <si>
    <t>89.99%</t>
  </si>
  <si>
    <t>96.49%</t>
  </si>
  <si>
    <t>98.17%</t>
  </si>
  <si>
    <t xml:space="preserve">Phishing website </t>
  </si>
  <si>
    <t xml:space="preserve">1D-CNN,
LSTM </t>
  </si>
  <si>
    <t>Threats and alerts
on network log by pfSense</t>
  </si>
  <si>
    <t>~ 99%</t>
  </si>
  <si>
    <t>Phishing URLs using
homoglyph attack
detection</t>
  </si>
  <si>
    <t>Intrusion detection</t>
  </si>
  <si>
    <t>Expose neural network that
uses deep learning method</t>
  </si>
  <si>
    <t>97-99%</t>
  </si>
  <si>
    <t>Suspicious URLs
detection for twitter</t>
  </si>
  <si>
    <t>support vector classification (SVC)</t>
  </si>
  <si>
    <t>87.67%</t>
  </si>
  <si>
    <t>96.33%</t>
  </si>
  <si>
    <t>97.49%</t>
  </si>
  <si>
    <t>Phishing and
legitimate sites</t>
  </si>
  <si>
    <t>Auto-updated whitelist</t>
  </si>
  <si>
    <t>89.38%</t>
  </si>
  <si>
    <t>97.485%,</t>
  </si>
  <si>
    <t>97.404%,</t>
  </si>
  <si>
    <t>97.449%,</t>
  </si>
  <si>
    <t>Malware and
malicious codes</t>
  </si>
  <si>
    <t>LogitBoost-Extra Tree (LBET)</t>
  </si>
  <si>
    <t>AdaBoost-Extra Tree (ABET),</t>
  </si>
  <si>
    <t>Bagging –Extra tree (BET)</t>
  </si>
  <si>
    <t>Rotation Forest – Extra Tree (RoFBET),</t>
  </si>
  <si>
    <t>DCNN,</t>
  </si>
  <si>
    <t>79.5%,</t>
  </si>
  <si>
    <t>80.6%,</t>
  </si>
  <si>
    <t>91.4%,</t>
  </si>
  <si>
    <t xml:space="preserve">CNN-LSTM, </t>
  </si>
  <si>
    <t>DTCNN-LSTM</t>
  </si>
  <si>
    <t>Anomaly and
malicious traffic in
IoT</t>
  </si>
  <si>
    <t>Feature selection based on
chi-square, Pearson
correlation, and score
correlation</t>
  </si>
  <si>
    <t>99.93%</t>
  </si>
  <si>
    <t>Malicious browser
extensions</t>
  </si>
  <si>
    <t>MLP,</t>
  </si>
  <si>
    <t>BN,</t>
  </si>
  <si>
    <t>96.52%</t>
  </si>
  <si>
    <t>93.48%</t>
  </si>
  <si>
    <t>88.99%</t>
  </si>
  <si>
    <t>86.16%</t>
  </si>
  <si>
    <t>Malicious JavaScript
code</t>
  </si>
  <si>
    <t>J48,</t>
  </si>
  <si>
    <t>KNN</t>
  </si>
  <si>
    <t>95.06%</t>
  </si>
  <si>
    <t>99.22%</t>
  </si>
  <si>
    <t>94.55%</t>
  </si>
  <si>
    <t>97.14%</t>
  </si>
  <si>
    <t>Malicious domain
name detection</t>
  </si>
  <si>
    <t xml:space="preserve">N-gram </t>
  </si>
  <si>
    <t>94.04%</t>
  </si>
  <si>
    <t>Malicious URL
related to COVID-19</t>
  </si>
  <si>
    <t xml:space="preserve">KNN (without entropy) </t>
  </si>
  <si>
    <t>99.2%</t>
  </si>
  <si>
    <t>DBN-SVM</t>
  </si>
  <si>
    <t>95.34%,</t>
  </si>
  <si>
    <t>96.87%,</t>
  </si>
  <si>
    <t>99.96%</t>
  </si>
  <si>
    <t>Decision Tree</t>
  </si>
  <si>
    <t>Yuan, J., Liu, Y., Yu, L., 2021. A novel approach for malicious url detection based on the joint model. Security and Communication Networks
2021, 4917016</t>
  </si>
  <si>
    <t xml:space="preserve">Joshi, A., Lloyd, L., Westin, P., Seethapathy, S., 2019. Using lexical features for malicious url detection–a machine learning approach. arXiv
preprint arXiv:1910.06277 </t>
  </si>
  <si>
    <t>Abad, S., Gholamy, H., Aslani, M., 2023. Classification of malicious urls using machine learning. Sensors 23, 7760.</t>
  </si>
  <si>
    <t>Aljabri, M., Alhaidari, F., Mohammad, R.M.A., Mirza, S., Alhamed, D.H., Altamimi, H.S., Chrouf, S.M.B., 2022. An assessment of
lexical, network, and content-based features for detecting malicious urls using machine learning and deep learning models. Computational
Intelligence and Neuroscience 2022, 3241216</t>
  </si>
  <si>
    <t>He, S., Li, B., Peng, H., Xin, J., Zhang, E., 2021. An effective cost-sensitive xgboost method for malicious urls detection in imbalanced
dataset. IEEE Access 9, 93089–93096</t>
  </si>
  <si>
    <t>Maci, A., Santorsola, A., Coscia, A., Iannacone, A., 2023. Unbalanced web phishing classification through deep reinforcement learning.
Computers 12, 118.</t>
  </si>
  <si>
    <t>DR, U.S., Patil, A., et al., 2023. Malicious url detection and classification analysis using machine learning models, in: 2023 International
Conference on Intelligent Data Communication Technologies and Internet of Things (IDCIoT), IEEE. pp. 470–476</t>
  </si>
  <si>
    <t>Do Xuan, C., Nguyen, H.D., Tisenko, V.N., 2020. Malicious url detection based on machine learning. International Journal of Advanced
Computer Science and Applications 11.</t>
  </si>
  <si>
    <t>Patgiri, R., Katari, H., Kumar, R., Sharma, D., 2019. Empirical study on malicious url detection using machine learning, in: Distributed
Computing and Internet Technology: 15th International Conference, ICDCIT 2019, Bhubaneswar, India, January 10–13, 2019, Proceedings
15, Springer. pp. 380–388.</t>
  </si>
  <si>
    <t>Tong, X., Jin, B., Wang, J., Yang, Y., Suo, Q., Wu, Y., 2023. Mm-convbert-lms: detecting malicious web pages via multi-modal learning and
pre-trained model. Applied Sciences 13, 3327</t>
  </si>
  <si>
    <t>Nagy, N., Aljabri, M., Shaahid, A., Ahmed, A.A., Alnasser, F., Almakramy, L., Alhadab, M., Alfaddagh, S., 2023. Phishing urls detection
using sequential and parallel ml techniques: comparative analysis. Sensors 23, 3467.</t>
  </si>
  <si>
    <t>Alsaedi, M., Ghaleb, F.A., Saeed, F., Ahmad, J., Alasli, M., 2022. Cyber threat intelligence-based malicious url detection model using
ensemble learning. Sensors 22, 3373.</t>
  </si>
  <si>
    <t>Umer, M., Sadiq, S., Karamti, H., Alhebshi, R.M., Alnowaiser, K., Eshmawi, A., Song, H., Ashraf, I., 2022. Deep learning-based intrusion
detection methods in cyber-physical systems: Challenges and future trends. Electronics 11, 3326.</t>
  </si>
  <si>
    <t>Elsadig, M., Ibrahim, A.O., Basheer, S., Alohali, M.A., Alshunaifi, S., Alqahtani, H., Alharbi, N., Nagmeldin, W., 2022. Intelligent deep
machine learning cyber phishing url detection based on bert features extraction. Electronics 11, 3647</t>
  </si>
  <si>
    <t>Abdul Samad, S.R., Balasubaramanian, S., Al-Kaabi, A.S., Sharma, B., Chowdhury, S., Mehbodniya, A., Webber, J.L., Bostani, A., 2023.
Analysis of the performance impact of fine-tuned machine learning model for phishing url detection. Electronics 12, 1642.</t>
  </si>
  <si>
    <t>Kumi, S., Lim, C., Lee, S.G., 2021. Malicious url detection based on associative classification. Entropy 23, 182</t>
  </si>
  <si>
    <t>Roy, S.S., Awad, A.I., Amare, L.A., Erkihun, M.T., Anas, M., 2022. Multimodel phishing url detection using lstm, bidirectional lstm, and
gru models. Future Internet 14, 340</t>
  </si>
  <si>
    <t>Ashwini P, Vadivelan N D. Security from
phishing attack on internet using evolving
fuzzy neural network. CVRJST.
2021;20(1):50-5.</t>
  </si>
  <si>
    <t>Aalla HVS, Dumpala NR, Eliazer M.
Malicious URL prediction using machine
learning techniques. Ann Rom Soc Cell
Biol. 2021;2170-6.</t>
  </si>
  <si>
    <t>Anil GN. Detection of phishing websites
based on feature extraction using machine
learning. Int Res J Eng Technol (IRJET);
2020.</t>
  </si>
  <si>
    <t>Johnson C, Khadka B, Basnet RB, Doleck
T. Towards detecting and classifying
malicious URLs using deep learning. J
Wirel Mob Netw Ubiquitous Comput
Depend Appl. 2020;11(4):31-48.</t>
  </si>
  <si>
    <t>Chang P. Multi-layer perceptron neural
network for improving detection
performance of malicious phishing URLs
Without Affecting Other Attack Types
Classification. arXiv preprint
arXiv:2203.00774; 2022.</t>
  </si>
  <si>
    <t>Tariq HA, Yang W, Hameed I, Ahmed B,
Khan RU. USING black-list and white-list
technique to detect malicious URLs.
IJIRIS::International Journal of Innovative
Research Journal in Information Security.
2017;4:01-7.</t>
  </si>
  <si>
    <t>Wang Y. Malicious URL detection an
evaluation of feature extraction and
machine learning algorithm. Highlights Sci
Eng Technol. 2022;23:117-23.</t>
  </si>
  <si>
    <t>Wei B, Hamad RA, Yang L, He X, Wang H,
Gao B et al. A deep-learning-driven light-
weight phishing detection sensor. Sensors
(Basel). 2019;19(19):4258.</t>
  </si>
  <si>
    <t>Hajaj C, Hason N, Dvir A. Less is more:
robust and novel features for malicious
domain detection. Electronics.
2022;11(6):969.</t>
  </si>
  <si>
    <t>Fotiadou K, Velivassaki TH, Voulkidis A,
Skias D, Tsekeridou S, Zahariadis T.
Network traffic anomaly detection via deep
learning. Information. 2021;12(5):215.</t>
  </si>
  <si>
    <t>Almuhaideb AM, Aslam N, Alabdullatif A,
Altamimi S, Alothman S, Alhussain A, et al.
Homoglyph attack detection model using
machine learning and hash function. J
Sens Actuator Netw. 2022;11(3):54.</t>
  </si>
  <si>
    <t>Saxe J, Berlin K. eXpose: A character-level
convolutional neural network with
embeddings for detecting malicious URLs,
file paths and registry keys. arXiv preprint
arXiv:1702.08568; 2017.</t>
  </si>
  <si>
    <t>Lee S, Kim J. Warningbird: detecting
suspicious urls in twitter stream. Ndss.
2012;12.</t>
  </si>
  <si>
    <t>Tung SP, Wong KY, Kuzminykh I, Bakhshi
T, Ghita B. Using a machine learning
model for malicious url type detection. In:
International Conference on Next
Generation Wired/Wireless Networking.
Cham: Springer International Publishing.
2021;493-505.</t>
  </si>
  <si>
    <t>Jain AK, Gupta BB. A novel approach to
protect against phishing attacks at
client side using auto-updated
white-list. EURASIP J Inf Sec. 2016;
2016:1-11.</t>
  </si>
  <si>
    <t>Alsariera YA, Adeyemo VE, Balogun AO,
Alazzawi AK. Ai meta-learners and extra-
trees algorithm for the detection of
phishing websites. IEEE Access. 2020;
8:142532-42.</t>
  </si>
  <si>
    <t>Liu L, Ren W, Xie F, Yi S, Yi J, Jia P.
Learning-based detection for malicious
android application using code
vectorization. Sec Commun Netw.
2021;2021:1-11.</t>
  </si>
  <si>
    <t>Diwan TD, Choubey S, Hota HS, Goyal
SB, Jamal SS, Shukla PK et al. Feature
entropy estimation (FEE) for malicious IoT
traffic and detection using machine
learning. Mob Inf Syst. 2021;2021:1-13.</t>
  </si>
  <si>
    <t>Wang Y, Cai W, Lyu P, Shao W. A
combined static and dynamic analysis
approach to detect malicious browser
extensions. Sec Commun Netw. 2018;
2018.</t>
  </si>
  <si>
    <t>Khan N, Abdullah J, Khan AS. Defending
malicious script attacks using machine
learning classifiers. Wirel Commun Mob
Comput. 2017;2017.</t>
  </si>
  <si>
    <t>Zhao H, Chang Z, Bao G, Zeng X.
Malicious domain names detection
algorithm based on N-gram. J Comput
Netw Commun. 2019;2019:1-9.</t>
  </si>
  <si>
    <t>Ispahany J, Islam R. Detecting
malicious urls of covid-19
pandemic using ml technologies.
arXiv preprint arXiv: 2009.09224;
2020.</t>
  </si>
  <si>
    <t>Yu X. Phishing websites detection based
on hybrid model of deep belief network and
support vector machine. In IOP
Conference Series. IOP Conf Ser.: Earth
Environ Sci (Vol. 602, No. 1, p. 012001).
2020;602(1).</t>
  </si>
  <si>
    <t>97. 576%</t>
  </si>
  <si>
    <t>Naive Bayes,</t>
  </si>
  <si>
    <t>Support Vector Machine</t>
  </si>
  <si>
    <t>93.33%</t>
  </si>
  <si>
    <t>92.86%</t>
  </si>
  <si>
    <t>78.53%</t>
  </si>
  <si>
    <t>Malicious URL Detection</t>
  </si>
  <si>
    <t>Rafsanjani, A. S., Kamaruddin, N. B., Behjati, M., Aslam, S., Sarfaraz, A., &amp; Amphawan, A. (2024).
Enhancing Malicious URL Detection: A Novel Framework Leveraging Priority Coefficient and Feature Evaluation. IEEE Access</t>
  </si>
  <si>
    <t>K-Nearest Neighbors</t>
  </si>
  <si>
    <t>96.4%</t>
  </si>
  <si>
    <t>81.6%</t>
  </si>
  <si>
    <t>83.9%</t>
  </si>
  <si>
    <t>94.7%</t>
  </si>
  <si>
    <t>E. Nazeeruddin, G. Latif, and N. Mohammad,
“Malicious URL Detection and Categorization using Machine Learning Techniques,”
2024 IEEE 16th International Conference on Computational Intelligence and Communication Networks (CICN), 2024.</t>
  </si>
  <si>
    <t>Malicious URL Detection and 
Categorization</t>
  </si>
  <si>
    <t>T. Jaswanthi, T. Harshitha, M. Belwal, and S. Tanya,
“Malicious URL Detection: Comparative Study of Machine Learning Algorithms,”
2024 15th International Conference on Computing Communication and Networking Technologies (ICCCNT), 2024.</t>
  </si>
  <si>
    <t>Binary classification</t>
  </si>
  <si>
    <t>Gradient Boosting</t>
  </si>
  <si>
    <t>Extra Trees</t>
  </si>
  <si>
    <t>91.93%</t>
  </si>
  <si>
    <t>90.00%</t>
  </si>
  <si>
    <t>66.48%</t>
  </si>
  <si>
    <t>87.23%</t>
  </si>
  <si>
    <t>31.46%</t>
  </si>
  <si>
    <t>87.52%</t>
  </si>
  <si>
    <t>81.39%</t>
  </si>
  <si>
    <t>92.01%</t>
  </si>
  <si>
    <t>D. S. Dinakar and K. Deepak,
“Shallow and Deep Learning Based Approaches for Malicious URL Detection: A Comprehensive Performance Evaluation,”
2024 15th International Conference on Computing Communication and Networking Technologies (ICCCNT), 2024.</t>
  </si>
  <si>
    <t>Multilayer Perceptron</t>
  </si>
  <si>
    <t>Tiny Llama + DL</t>
  </si>
  <si>
    <t>BERT (Base) + DL</t>
  </si>
  <si>
    <t>T5 (Large) + DL</t>
  </si>
  <si>
    <t>GPT-2 + DL</t>
  </si>
  <si>
    <t>A. Alharbi, K. Alsubhi and R. Alotaibi, 
“Lightweight malicious URL detection using deep learning,” 
Scientific Reports, vol. 15, 2025, doi:10.1038/s41598-025-26653-2.</t>
  </si>
  <si>
    <t>Naive Bayes Kernel</t>
  </si>
  <si>
    <t>Random Tree</t>
  </si>
  <si>
    <t>A. U. Rehman, I. Imtiaz, S. Javaid and M. Muslih, “Real-Time Phishing URL Detection Using Machine Learning,” Eng. Proc., vol. 107, p. 108, 2025. https://doi.org/10.3390/engproc2025107108</t>
  </si>
  <si>
    <t>LGM</t>
  </si>
  <si>
    <t>CNN+LSTM</t>
  </si>
  <si>
    <t>GA+CNN+LSTM</t>
  </si>
  <si>
    <t>PSO+CNN+LSTM</t>
  </si>
  <si>
    <t>HHO+CNN+LSTM</t>
  </si>
  <si>
    <t>ELECTRA</t>
  </si>
  <si>
    <t>99.36%</t>
  </si>
  <si>
    <t>99.61%</t>
  </si>
  <si>
    <t>99.27%</t>
  </si>
  <si>
    <t>96.55</t>
  </si>
  <si>
    <t>97.0%</t>
  </si>
  <si>
    <t>99.77%</t>
  </si>
  <si>
    <t>99.97%</t>
  </si>
  <si>
    <t>99.99%</t>
  </si>
  <si>
    <t>95.38%</t>
  </si>
  <si>
    <t>95.6%</t>
  </si>
  <si>
    <t>95.7%</t>
  </si>
  <si>
    <t>Türk, F., &amp; Kılıçaslan, M. (2025). Malicious URL detection with advanced machine learning and optimization-supported deep learning models. Applied Sciences, 15, 10090.</t>
  </si>
  <si>
    <t>Hybrid (Proposed)</t>
  </si>
  <si>
    <t>Onwudebelu, U., Ugah, J. O., Ezeh, S. E., &amp; Fasola, O. O. (2026). Securing online platforms: Hybrid machine learning approaches for URL phishing detections. Journal of Intelligent Communication, 5(1), 24–46.</t>
  </si>
  <si>
    <t>LightGBM</t>
  </si>
  <si>
    <t>CatBoost</t>
  </si>
  <si>
    <t>Yi, L., Omotosho, A., &amp; Balogun, H. (2026). Phishing URL detection and interpretability with machine learning: A cross-dataset approach. Security and Privacy, 9, e70175. https://doi.org/10.1002/spy2.70175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</si>
</sst>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charset val="162"/>
      <scheme val="minor"/>
    </font>
    <font>
      <sz val="11"/>
      <color theme="1"/>
      <name val="Arial"/>
      <family val="2"/>
      <charset val="162"/>
    </font>
    <font>
      <b/>
      <sz val="11"/>
      <color theme="1"/>
      <name val="Arial"/>
      <family val="2"/>
      <charset val="162"/>
    </font>
    <font>
      <b/>
      <sz val="11"/>
      <color theme="1"/>
      <name val="Calibri"/>
      <family val="2"/>
      <scheme val="minor"/>
    </font>
    <font>
      <sz val="14"/>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9" fontId="2" fillId="0" borderId="0" xfId="0" applyNumberFormat="1"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wrapText="1"/>
    </xf>
    <xf numFmtId="9" fontId="2"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horizontal="center"/>
    </xf>
    <xf numFmtId="0" fontId="4" fillId="0" borderId="0" xfId="0" applyFont="1"/>
    <xf numFmtId="9" fontId="0" fillId="0" borderId="0" xfId="0" applyNumberFormat="1" applyAlignment="1">
      <alignment horizontal="center" vertical="center"/>
    </xf>
    <xf numFmtId="0" fontId="1" fillId="0" borderId="0" xfId="0" applyFont="1" applyAlignment="1">
      <alignment vertical="center" wrapText="1"/>
    </xf>
    <xf numFmtId="0" fontId="4" fillId="0" borderId="0" xfId="0" applyFont="1" applyAlignment="1">
      <alignment horizontal="center" wrapText="1"/>
    </xf>
    <xf numFmtId="0" fontId="0" fillId="0" borderId="0" xfId="0" applyAlignment="1">
      <alignment horizontal="center" wrapText="1"/>
    </xf>
    <xf numFmtId="0" fontId="5"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center"/>
    </xf>
    <xf numFmtId="0" fontId="0" fillId="0" borderId="0" xfId="0"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1"/>
  <sheetViews>
    <sheetView topLeftCell="A129" zoomScale="112" workbookViewId="0">
      <selection activeCell="M7" sqref="M7"/>
    </sheetView>
  </sheetViews>
  <sheetFormatPr defaultColWidth="8.85546875" defaultRowHeight="15" x14ac:dyDescent="0.25"/>
  <cols>
    <col min="1" max="1" width="27.85546875" style="7" customWidth="1"/>
    <col min="2" max="2" width="15.42578125" style="3" customWidth="1"/>
    <col min="3" max="3" width="27" style="3" bestFit="1" customWidth="1"/>
    <col min="4" max="4" width="41.7109375" style="3" bestFit="1" customWidth="1"/>
    <col min="5" max="5" width="8.42578125" style="7" bestFit="1" customWidth="1"/>
  </cols>
  <sheetData>
    <row r="1" spans="1:5" x14ac:dyDescent="0.25">
      <c r="A1" s="4" t="s">
        <v>12</v>
      </c>
      <c r="B1" s="4" t="s">
        <v>8</v>
      </c>
      <c r="C1" s="4" t="s">
        <v>13</v>
      </c>
      <c r="D1" s="4" t="s">
        <v>14</v>
      </c>
      <c r="E1" s="4" t="s">
        <v>23</v>
      </c>
    </row>
    <row r="2" spans="1:5" ht="99.75" x14ac:dyDescent="0.25">
      <c r="A2" s="5" t="s">
        <v>177</v>
      </c>
      <c r="B2" s="5">
        <v>2021</v>
      </c>
      <c r="C2" s="5" t="s">
        <v>9</v>
      </c>
      <c r="D2" s="5" t="s">
        <v>10</v>
      </c>
      <c r="E2" s="5" t="s">
        <v>11</v>
      </c>
    </row>
    <row r="3" spans="1:5" ht="29.25" customHeight="1" x14ac:dyDescent="0.25">
      <c r="A3" s="24" t="s">
        <v>178</v>
      </c>
      <c r="B3" s="24">
        <v>2019</v>
      </c>
      <c r="C3" s="24" t="s">
        <v>24</v>
      </c>
      <c r="D3" s="5" t="s">
        <v>0</v>
      </c>
      <c r="E3" s="6" t="s">
        <v>5</v>
      </c>
    </row>
    <row r="4" spans="1:5" x14ac:dyDescent="0.25">
      <c r="A4" s="24"/>
      <c r="B4" s="24"/>
      <c r="C4" s="24"/>
      <c r="D4" s="5" t="s">
        <v>1</v>
      </c>
      <c r="E4" s="6" t="s">
        <v>6</v>
      </c>
    </row>
    <row r="5" spans="1:5" x14ac:dyDescent="0.25">
      <c r="A5" s="24"/>
      <c r="B5" s="24"/>
      <c r="C5" s="24"/>
      <c r="D5" s="5" t="s">
        <v>2</v>
      </c>
      <c r="E5" s="6" t="s">
        <v>6</v>
      </c>
    </row>
    <row r="6" spans="1:5" x14ac:dyDescent="0.25">
      <c r="A6" s="24"/>
      <c r="B6" s="24"/>
      <c r="C6" s="24"/>
      <c r="D6" s="5" t="s">
        <v>3</v>
      </c>
      <c r="E6" s="6" t="s">
        <v>7</v>
      </c>
    </row>
    <row r="7" spans="1:5" x14ac:dyDescent="0.25">
      <c r="A7" s="24"/>
      <c r="B7" s="24"/>
      <c r="C7" s="24"/>
      <c r="D7" s="5" t="s">
        <v>4</v>
      </c>
      <c r="E7" s="6">
        <v>0.7</v>
      </c>
    </row>
    <row r="8" spans="1:5" ht="28.5" x14ac:dyDescent="0.25">
      <c r="A8" s="24" t="s">
        <v>179</v>
      </c>
      <c r="B8" s="24">
        <v>2023</v>
      </c>
      <c r="C8" s="24" t="s">
        <v>24</v>
      </c>
      <c r="D8" s="5" t="s">
        <v>25</v>
      </c>
      <c r="E8" s="5" t="s">
        <v>30</v>
      </c>
    </row>
    <row r="9" spans="1:5" x14ac:dyDescent="0.25">
      <c r="A9" s="24"/>
      <c r="B9" s="24"/>
      <c r="C9" s="24"/>
      <c r="D9" s="3" t="s">
        <v>0</v>
      </c>
      <c r="E9" s="7" t="s">
        <v>31</v>
      </c>
    </row>
    <row r="10" spans="1:5" ht="28.5" x14ac:dyDescent="0.25">
      <c r="A10" s="24"/>
      <c r="B10" s="24"/>
      <c r="C10" s="24"/>
      <c r="D10" s="5" t="s">
        <v>28</v>
      </c>
      <c r="E10" s="5" t="s">
        <v>32</v>
      </c>
    </row>
    <row r="11" spans="1:5" x14ac:dyDescent="0.25">
      <c r="A11" s="24"/>
      <c r="B11" s="24"/>
      <c r="C11" s="24"/>
      <c r="D11" s="5" t="s">
        <v>29</v>
      </c>
      <c r="E11" s="5" t="s">
        <v>33</v>
      </c>
    </row>
    <row r="12" spans="1:5" ht="28.5" customHeight="1" x14ac:dyDescent="0.25">
      <c r="A12" s="24" t="s">
        <v>180</v>
      </c>
      <c r="B12" s="24">
        <v>2022</v>
      </c>
      <c r="C12" s="24" t="s">
        <v>24</v>
      </c>
      <c r="D12" s="5" t="s">
        <v>34</v>
      </c>
      <c r="E12" s="5" t="s">
        <v>37</v>
      </c>
    </row>
    <row r="13" spans="1:5" ht="29.25" customHeight="1" x14ac:dyDescent="0.25">
      <c r="A13" s="24"/>
      <c r="B13" s="24"/>
      <c r="C13" s="24"/>
      <c r="D13" s="5" t="s">
        <v>35</v>
      </c>
      <c r="E13" s="5" t="s">
        <v>38</v>
      </c>
    </row>
    <row r="14" spans="1:5" ht="28.5" x14ac:dyDescent="0.25">
      <c r="A14" s="24"/>
      <c r="B14" s="24"/>
      <c r="C14" s="24"/>
      <c r="D14" s="5" t="s">
        <v>36</v>
      </c>
      <c r="E14" s="5" t="s">
        <v>39</v>
      </c>
    </row>
    <row r="15" spans="1:5" x14ac:dyDescent="0.25">
      <c r="A15" s="24"/>
      <c r="B15" s="24"/>
      <c r="C15" s="24"/>
      <c r="D15" s="5" t="s">
        <v>15</v>
      </c>
      <c r="E15" s="5" t="s">
        <v>40</v>
      </c>
    </row>
    <row r="16" spans="1:5" ht="28.5" customHeight="1" x14ac:dyDescent="0.25">
      <c r="A16" s="24" t="s">
        <v>181</v>
      </c>
      <c r="B16" s="24">
        <v>2021</v>
      </c>
      <c r="C16" s="24" t="s">
        <v>24</v>
      </c>
      <c r="D16" s="5" t="s">
        <v>41</v>
      </c>
      <c r="E16" s="5" t="s">
        <v>44</v>
      </c>
    </row>
    <row r="17" spans="1:5" x14ac:dyDescent="0.25">
      <c r="A17" s="24"/>
      <c r="B17" s="24"/>
      <c r="C17" s="24"/>
      <c r="D17" s="3" t="s">
        <v>42</v>
      </c>
      <c r="E17" s="7" t="s">
        <v>45</v>
      </c>
    </row>
    <row r="18" spans="1:5" x14ac:dyDescent="0.25">
      <c r="A18" s="24"/>
      <c r="B18" s="24"/>
      <c r="C18" s="24"/>
      <c r="D18" s="3" t="s">
        <v>43</v>
      </c>
      <c r="E18" s="7" t="s">
        <v>46</v>
      </c>
    </row>
    <row r="19" spans="1:5" ht="99.75" x14ac:dyDescent="0.25">
      <c r="A19" s="5" t="s">
        <v>182</v>
      </c>
      <c r="B19" s="3">
        <v>2023</v>
      </c>
      <c r="C19" s="8" t="s">
        <v>47</v>
      </c>
      <c r="D19" s="8" t="s">
        <v>48</v>
      </c>
      <c r="E19" s="7" t="s">
        <v>49</v>
      </c>
    </row>
    <row r="20" spans="1:5" ht="60" customHeight="1" x14ac:dyDescent="0.25">
      <c r="A20" s="24" t="s">
        <v>183</v>
      </c>
      <c r="B20" s="23">
        <v>2023</v>
      </c>
      <c r="C20" s="25" t="s">
        <v>50</v>
      </c>
      <c r="D20" s="3" t="s">
        <v>0</v>
      </c>
      <c r="E20" s="7" t="s">
        <v>53</v>
      </c>
    </row>
    <row r="21" spans="1:5" x14ac:dyDescent="0.25">
      <c r="A21" s="26"/>
      <c r="B21" s="23"/>
      <c r="C21" s="25"/>
      <c r="D21" s="3" t="s">
        <v>51</v>
      </c>
      <c r="E21" s="7" t="s">
        <v>54</v>
      </c>
    </row>
    <row r="22" spans="1:5" x14ac:dyDescent="0.25">
      <c r="A22" s="26"/>
      <c r="B22" s="23"/>
      <c r="C22" s="25"/>
      <c r="D22" s="3" t="s">
        <v>52</v>
      </c>
      <c r="E22" s="7" t="s">
        <v>55</v>
      </c>
    </row>
    <row r="23" spans="1:5" ht="30" customHeight="1" x14ac:dyDescent="0.25">
      <c r="A23" s="24" t="s">
        <v>184</v>
      </c>
      <c r="B23" s="23">
        <v>2020</v>
      </c>
      <c r="C23" s="25" t="s">
        <v>24</v>
      </c>
      <c r="D23" s="3" t="s">
        <v>0</v>
      </c>
      <c r="E23" s="7" t="s">
        <v>56</v>
      </c>
    </row>
    <row r="24" spans="1:5" x14ac:dyDescent="0.25">
      <c r="A24" s="26"/>
      <c r="B24" s="23"/>
      <c r="C24" s="25"/>
      <c r="D24" s="3" t="s">
        <v>22</v>
      </c>
      <c r="E24" s="7" t="s">
        <v>57</v>
      </c>
    </row>
    <row r="25" spans="1:5" x14ac:dyDescent="0.25">
      <c r="A25" s="24" t="s">
        <v>185</v>
      </c>
      <c r="B25" s="23">
        <v>2019</v>
      </c>
      <c r="C25" s="23" t="s">
        <v>58</v>
      </c>
      <c r="D25" s="3" t="s">
        <v>0</v>
      </c>
      <c r="E25" s="7" t="s">
        <v>59</v>
      </c>
    </row>
    <row r="26" spans="1:5" x14ac:dyDescent="0.25">
      <c r="A26" s="26"/>
      <c r="B26" s="23"/>
      <c r="C26" s="23"/>
      <c r="D26" s="3" t="s">
        <v>22</v>
      </c>
      <c r="E26" s="7" t="s">
        <v>60</v>
      </c>
    </row>
    <row r="27" spans="1:5" ht="114" x14ac:dyDescent="0.25">
      <c r="A27" s="5" t="s">
        <v>186</v>
      </c>
      <c r="B27" s="3">
        <v>2023</v>
      </c>
      <c r="C27" s="3" t="s">
        <v>61</v>
      </c>
      <c r="D27" s="3" t="s">
        <v>62</v>
      </c>
      <c r="E27" s="7" t="s">
        <v>63</v>
      </c>
    </row>
    <row r="28" spans="1:5" ht="128.25" x14ac:dyDescent="0.25">
      <c r="A28" s="5" t="s">
        <v>187</v>
      </c>
      <c r="B28" s="3">
        <v>2023</v>
      </c>
      <c r="C28" s="8" t="s">
        <v>64</v>
      </c>
      <c r="D28" s="8" t="s">
        <v>65</v>
      </c>
      <c r="E28" s="9">
        <v>0.96</v>
      </c>
    </row>
    <row r="29" spans="1:5" ht="99.75" x14ac:dyDescent="0.25">
      <c r="A29" s="5" t="s">
        <v>188</v>
      </c>
      <c r="B29" s="3">
        <v>2022</v>
      </c>
      <c r="C29" s="8" t="s">
        <v>24</v>
      </c>
      <c r="D29" s="3" t="s">
        <v>66</v>
      </c>
      <c r="E29" s="9">
        <v>0.96</v>
      </c>
    </row>
    <row r="30" spans="1:5" ht="156.75" x14ac:dyDescent="0.25">
      <c r="A30" s="5" t="s">
        <v>189</v>
      </c>
      <c r="B30" s="3">
        <v>2022</v>
      </c>
      <c r="C30" s="8" t="s">
        <v>24</v>
      </c>
      <c r="D30" s="3" t="s">
        <v>71</v>
      </c>
      <c r="E30" s="7" t="s">
        <v>72</v>
      </c>
    </row>
    <row r="31" spans="1:5" ht="128.25" x14ac:dyDescent="0.25">
      <c r="A31" s="5" t="s">
        <v>190</v>
      </c>
      <c r="B31" s="3">
        <v>2022</v>
      </c>
      <c r="C31" s="3" t="s">
        <v>73</v>
      </c>
      <c r="D31" s="8" t="s">
        <v>75</v>
      </c>
      <c r="E31" s="7" t="s">
        <v>74</v>
      </c>
    </row>
    <row r="32" spans="1:5" x14ac:dyDescent="0.25">
      <c r="A32" s="24" t="s">
        <v>191</v>
      </c>
      <c r="B32" s="23">
        <v>2023</v>
      </c>
      <c r="C32" s="23" t="s">
        <v>20</v>
      </c>
      <c r="D32" s="3" t="s">
        <v>0</v>
      </c>
      <c r="E32" s="7" t="s">
        <v>76</v>
      </c>
    </row>
    <row r="33" spans="1:5" x14ac:dyDescent="0.25">
      <c r="A33" s="26"/>
      <c r="B33" s="23"/>
      <c r="C33" s="23"/>
      <c r="D33" s="3" t="s">
        <v>1</v>
      </c>
      <c r="E33" s="7" t="s">
        <v>77</v>
      </c>
    </row>
    <row r="34" spans="1:5" x14ac:dyDescent="0.25">
      <c r="A34" s="26"/>
      <c r="B34" s="23"/>
      <c r="C34" s="23"/>
      <c r="D34" s="3" t="s">
        <v>52</v>
      </c>
      <c r="E34" s="7" t="s">
        <v>78</v>
      </c>
    </row>
    <row r="35" spans="1:5" ht="30" x14ac:dyDescent="0.25">
      <c r="A35" s="7" t="s">
        <v>192</v>
      </c>
      <c r="B35" s="3">
        <v>2021</v>
      </c>
      <c r="C35" s="8" t="s">
        <v>79</v>
      </c>
      <c r="D35" s="3" t="s">
        <v>80</v>
      </c>
      <c r="E35" s="7" t="s">
        <v>81</v>
      </c>
    </row>
    <row r="36" spans="1:5" x14ac:dyDescent="0.25">
      <c r="A36" s="24" t="s">
        <v>193</v>
      </c>
      <c r="B36" s="23">
        <v>2022</v>
      </c>
      <c r="C36" s="23" t="s">
        <v>82</v>
      </c>
      <c r="D36" s="3" t="s">
        <v>35</v>
      </c>
      <c r="E36" s="7" t="s">
        <v>84</v>
      </c>
    </row>
    <row r="37" spans="1:5" x14ac:dyDescent="0.25">
      <c r="A37" s="26"/>
      <c r="B37" s="23"/>
      <c r="C37" s="23"/>
      <c r="D37" s="3" t="s">
        <v>83</v>
      </c>
      <c r="E37" s="7" t="s">
        <v>85</v>
      </c>
    </row>
    <row r="38" spans="1:5" x14ac:dyDescent="0.25">
      <c r="A38" s="26"/>
      <c r="B38" s="23"/>
      <c r="C38" s="23"/>
      <c r="D38" s="3" t="s">
        <v>21</v>
      </c>
      <c r="E38" s="7" t="s">
        <v>86</v>
      </c>
    </row>
    <row r="39" spans="1:5" ht="99.75" x14ac:dyDescent="0.25">
      <c r="A39" s="5" t="s">
        <v>194</v>
      </c>
      <c r="B39" s="2">
        <v>2021</v>
      </c>
      <c r="C39" s="8" t="s">
        <v>9</v>
      </c>
      <c r="D39" s="8" t="s">
        <v>87</v>
      </c>
      <c r="E39" s="7" t="s">
        <v>88</v>
      </c>
    </row>
    <row r="40" spans="1:5" x14ac:dyDescent="0.25">
      <c r="A40" s="24" t="s">
        <v>195</v>
      </c>
      <c r="B40" s="23">
        <v>2021</v>
      </c>
      <c r="C40" s="23" t="s">
        <v>89</v>
      </c>
      <c r="D40" s="3" t="s">
        <v>3</v>
      </c>
      <c r="E40" s="7" t="s">
        <v>86</v>
      </c>
    </row>
    <row r="41" spans="1:5" x14ac:dyDescent="0.25">
      <c r="A41" s="26"/>
      <c r="B41" s="23"/>
      <c r="C41" s="23"/>
      <c r="D41" s="3" t="s">
        <v>176</v>
      </c>
      <c r="E41" s="9">
        <v>0.85</v>
      </c>
    </row>
    <row r="42" spans="1:5" ht="30" customHeight="1" x14ac:dyDescent="0.25">
      <c r="A42" s="24" t="s">
        <v>196</v>
      </c>
      <c r="B42" s="23">
        <v>2020</v>
      </c>
      <c r="C42" s="25" t="s">
        <v>90</v>
      </c>
      <c r="D42" s="3" t="s">
        <v>94</v>
      </c>
      <c r="E42" s="7" t="s">
        <v>92</v>
      </c>
    </row>
    <row r="43" spans="1:5" x14ac:dyDescent="0.25">
      <c r="A43" s="26"/>
      <c r="B43" s="23"/>
      <c r="C43" s="25"/>
      <c r="D43" s="3" t="s">
        <v>91</v>
      </c>
      <c r="E43" s="7" t="s">
        <v>93</v>
      </c>
    </row>
    <row r="44" spans="1:5" ht="30" customHeight="1" x14ac:dyDescent="0.25">
      <c r="A44" s="24" t="s">
        <v>197</v>
      </c>
      <c r="B44" s="23">
        <v>2020</v>
      </c>
      <c r="C44" s="25" t="s">
        <v>24</v>
      </c>
      <c r="D44" s="3" t="s">
        <v>94</v>
      </c>
      <c r="E44" s="7" t="s">
        <v>98</v>
      </c>
    </row>
    <row r="45" spans="1:5" x14ac:dyDescent="0.25">
      <c r="A45" s="26"/>
      <c r="B45" s="23"/>
      <c r="C45" s="25"/>
      <c r="D45" s="3" t="s">
        <v>96</v>
      </c>
      <c r="E45" s="7" t="s">
        <v>99</v>
      </c>
    </row>
    <row r="46" spans="1:5" x14ac:dyDescent="0.25">
      <c r="A46" s="26"/>
      <c r="B46" s="23"/>
      <c r="C46" s="25"/>
      <c r="D46" s="3" t="s">
        <v>97</v>
      </c>
      <c r="E46" s="7" t="s">
        <v>100</v>
      </c>
    </row>
    <row r="47" spans="1:5" ht="30" customHeight="1" x14ac:dyDescent="0.25">
      <c r="A47" s="24" t="s">
        <v>198</v>
      </c>
      <c r="B47" s="23">
        <v>2022</v>
      </c>
      <c r="C47" s="25" t="s">
        <v>101</v>
      </c>
      <c r="D47" s="3" t="s">
        <v>3</v>
      </c>
      <c r="E47" s="7" t="s">
        <v>103</v>
      </c>
    </row>
    <row r="48" spans="1:5" x14ac:dyDescent="0.25">
      <c r="A48" s="26"/>
      <c r="B48" s="23"/>
      <c r="C48" s="25"/>
      <c r="D48" s="3" t="s">
        <v>102</v>
      </c>
      <c r="E48" s="7" t="s">
        <v>104</v>
      </c>
    </row>
    <row r="49" spans="1:5" ht="15" customHeight="1" x14ac:dyDescent="0.25">
      <c r="A49" s="24" t="s">
        <v>199</v>
      </c>
      <c r="B49" s="23">
        <v>2017</v>
      </c>
      <c r="C49" s="25" t="s">
        <v>101</v>
      </c>
      <c r="D49" s="3" t="s">
        <v>105</v>
      </c>
      <c r="E49" s="7" t="s">
        <v>106</v>
      </c>
    </row>
    <row r="50" spans="1:5" x14ac:dyDescent="0.25">
      <c r="A50" s="26"/>
      <c r="B50" s="23"/>
      <c r="C50" s="25"/>
      <c r="D50" s="3" t="s">
        <v>218</v>
      </c>
      <c r="E50" s="7" t="s">
        <v>107</v>
      </c>
    </row>
    <row r="51" spans="1:5" x14ac:dyDescent="0.25">
      <c r="A51" s="26"/>
      <c r="B51" s="23"/>
      <c r="C51" s="25"/>
      <c r="D51" s="3" t="s">
        <v>28</v>
      </c>
      <c r="E51" s="7" t="s">
        <v>108</v>
      </c>
    </row>
    <row r="52" spans="1:5" x14ac:dyDescent="0.25">
      <c r="A52" s="26"/>
      <c r="B52" s="23"/>
      <c r="C52" s="25"/>
      <c r="D52" s="3" t="s">
        <v>22</v>
      </c>
      <c r="E52" s="7" t="s">
        <v>109</v>
      </c>
    </row>
    <row r="53" spans="1:5" ht="30" customHeight="1" x14ac:dyDescent="0.25">
      <c r="A53" s="24" t="s">
        <v>200</v>
      </c>
      <c r="B53" s="23">
        <v>2022</v>
      </c>
      <c r="C53" s="25" t="s">
        <v>101</v>
      </c>
      <c r="D53" s="3" t="s">
        <v>95</v>
      </c>
      <c r="E53" s="7" t="s">
        <v>110</v>
      </c>
    </row>
    <row r="54" spans="1:5" x14ac:dyDescent="0.25">
      <c r="A54" s="26"/>
      <c r="B54" s="23"/>
      <c r="C54" s="25"/>
      <c r="D54" s="3" t="s">
        <v>25</v>
      </c>
      <c r="E54" s="7" t="s">
        <v>111</v>
      </c>
    </row>
    <row r="55" spans="1:5" x14ac:dyDescent="0.25">
      <c r="A55" s="26"/>
      <c r="B55" s="23"/>
      <c r="C55" s="25"/>
      <c r="D55" s="3" t="s">
        <v>94</v>
      </c>
      <c r="E55" s="7" t="s">
        <v>27</v>
      </c>
    </row>
    <row r="56" spans="1:5" x14ac:dyDescent="0.25">
      <c r="A56" s="26"/>
      <c r="B56" s="23"/>
      <c r="C56" s="25"/>
      <c r="D56" s="3" t="s">
        <v>1</v>
      </c>
      <c r="E56" s="7" t="s">
        <v>112</v>
      </c>
    </row>
    <row r="57" spans="1:5" x14ac:dyDescent="0.25">
      <c r="A57" s="26"/>
      <c r="B57" s="23"/>
      <c r="C57" s="25"/>
      <c r="D57" s="3" t="s">
        <v>26</v>
      </c>
      <c r="E57" s="7" t="s">
        <v>27</v>
      </c>
    </row>
    <row r="58" spans="1:5" ht="99.75" x14ac:dyDescent="0.25">
      <c r="A58" s="5" t="s">
        <v>201</v>
      </c>
      <c r="B58" s="3">
        <v>2019</v>
      </c>
      <c r="C58" s="8" t="s">
        <v>114</v>
      </c>
      <c r="D58" s="3" t="s">
        <v>18</v>
      </c>
      <c r="E58" s="7" t="s">
        <v>115</v>
      </c>
    </row>
    <row r="59" spans="1:5" x14ac:dyDescent="0.25">
      <c r="A59" s="24" t="s">
        <v>202</v>
      </c>
      <c r="B59" s="23">
        <v>2022</v>
      </c>
      <c r="C59" s="23" t="s">
        <v>67</v>
      </c>
      <c r="D59" s="3" t="s">
        <v>95</v>
      </c>
      <c r="E59" s="7" t="s">
        <v>116</v>
      </c>
    </row>
    <row r="60" spans="1:5" x14ac:dyDescent="0.25">
      <c r="A60" s="26"/>
      <c r="B60" s="23"/>
      <c r="C60" s="23"/>
      <c r="D60" s="3" t="s">
        <v>25</v>
      </c>
      <c r="E60" s="7" t="s">
        <v>117</v>
      </c>
    </row>
    <row r="61" spans="1:5" x14ac:dyDescent="0.25">
      <c r="A61" s="26"/>
      <c r="B61" s="23"/>
      <c r="C61" s="23"/>
      <c r="D61" s="3" t="s">
        <v>68</v>
      </c>
      <c r="E61" s="7" t="s">
        <v>118</v>
      </c>
    </row>
    <row r="62" spans="1:5" x14ac:dyDescent="0.25">
      <c r="A62" s="26"/>
      <c r="B62" s="23"/>
      <c r="C62" s="23"/>
      <c r="D62" s="3" t="s">
        <v>69</v>
      </c>
      <c r="E62" s="7" t="s">
        <v>70</v>
      </c>
    </row>
    <row r="63" spans="1:5" ht="114" x14ac:dyDescent="0.25">
      <c r="A63" s="5" t="s">
        <v>203</v>
      </c>
      <c r="B63" s="3">
        <v>2021</v>
      </c>
      <c r="C63" s="8" t="s">
        <v>121</v>
      </c>
      <c r="D63" s="8" t="s">
        <v>120</v>
      </c>
      <c r="E63" s="7" t="s">
        <v>122</v>
      </c>
    </row>
    <row r="64" spans="1:5" ht="142.5" x14ac:dyDescent="0.25">
      <c r="A64" s="5" t="s">
        <v>204</v>
      </c>
      <c r="B64" s="3">
        <v>2022</v>
      </c>
      <c r="C64" s="8" t="s">
        <v>123</v>
      </c>
      <c r="D64" s="3" t="s">
        <v>113</v>
      </c>
      <c r="E64" s="7" t="s">
        <v>88</v>
      </c>
    </row>
    <row r="65" spans="1:5" ht="128.25" x14ac:dyDescent="0.25">
      <c r="A65" s="5" t="s">
        <v>205</v>
      </c>
      <c r="B65" s="3">
        <v>2017</v>
      </c>
      <c r="C65" s="3" t="s">
        <v>124</v>
      </c>
      <c r="D65" s="8" t="s">
        <v>125</v>
      </c>
      <c r="E65" s="7" t="s">
        <v>126</v>
      </c>
    </row>
    <row r="66" spans="1:5" ht="30" customHeight="1" x14ac:dyDescent="0.25">
      <c r="A66" s="24" t="s">
        <v>206</v>
      </c>
      <c r="B66" s="23">
        <v>2012</v>
      </c>
      <c r="C66" s="25" t="s">
        <v>127</v>
      </c>
      <c r="D66" s="3" t="s">
        <v>95</v>
      </c>
      <c r="E66" s="7" t="s">
        <v>129</v>
      </c>
    </row>
    <row r="67" spans="1:5" x14ac:dyDescent="0.25">
      <c r="A67" s="26"/>
      <c r="B67" s="23"/>
      <c r="C67" s="25"/>
      <c r="D67" s="3" t="s">
        <v>128</v>
      </c>
      <c r="E67" s="9">
        <v>0.86</v>
      </c>
    </row>
    <row r="68" spans="1:5" ht="30" customHeight="1" x14ac:dyDescent="0.25">
      <c r="A68" s="24" t="s">
        <v>207</v>
      </c>
      <c r="B68" s="23">
        <v>2022</v>
      </c>
      <c r="C68" s="25" t="s">
        <v>24</v>
      </c>
      <c r="D68" s="3" t="s">
        <v>28</v>
      </c>
      <c r="E68" s="7" t="s">
        <v>130</v>
      </c>
    </row>
    <row r="69" spans="1:5" x14ac:dyDescent="0.25">
      <c r="A69" s="26"/>
      <c r="B69" s="23"/>
      <c r="C69" s="25"/>
      <c r="D69" s="3" t="s">
        <v>113</v>
      </c>
      <c r="E69" s="7" t="s">
        <v>131</v>
      </c>
    </row>
    <row r="70" spans="1:5" ht="128.25" x14ac:dyDescent="0.25">
      <c r="A70" s="5" t="s">
        <v>208</v>
      </c>
      <c r="B70" s="3">
        <v>2016</v>
      </c>
      <c r="C70" s="8" t="s">
        <v>132</v>
      </c>
      <c r="D70" s="3" t="s">
        <v>133</v>
      </c>
      <c r="E70" s="7" t="s">
        <v>134</v>
      </c>
    </row>
    <row r="71" spans="1:5" x14ac:dyDescent="0.25">
      <c r="A71" s="24" t="s">
        <v>209</v>
      </c>
      <c r="B71" s="23">
        <v>2020</v>
      </c>
      <c r="C71" s="23" t="s">
        <v>73</v>
      </c>
      <c r="D71" s="3" t="s">
        <v>140</v>
      </c>
      <c r="E71" s="7" t="s">
        <v>135</v>
      </c>
    </row>
    <row r="72" spans="1:5" x14ac:dyDescent="0.25">
      <c r="A72" s="26"/>
      <c r="B72" s="23"/>
      <c r="C72" s="23"/>
      <c r="D72" s="3" t="s">
        <v>141</v>
      </c>
      <c r="E72" s="7" t="s">
        <v>136</v>
      </c>
    </row>
    <row r="73" spans="1:5" x14ac:dyDescent="0.25">
      <c r="A73" s="26"/>
      <c r="B73" s="23"/>
      <c r="C73" s="23"/>
      <c r="D73" s="3" t="s">
        <v>142</v>
      </c>
      <c r="E73" s="7" t="s">
        <v>137</v>
      </c>
    </row>
    <row r="74" spans="1:5" x14ac:dyDescent="0.25">
      <c r="A74" s="26"/>
      <c r="B74" s="23"/>
      <c r="C74" s="23"/>
      <c r="D74" s="3" t="s">
        <v>139</v>
      </c>
      <c r="E74" s="9" t="s">
        <v>217</v>
      </c>
    </row>
    <row r="75" spans="1:5" ht="30" customHeight="1" x14ac:dyDescent="0.25">
      <c r="A75" s="24" t="s">
        <v>210</v>
      </c>
      <c r="B75" s="23">
        <v>2021</v>
      </c>
      <c r="C75" s="25" t="s">
        <v>138</v>
      </c>
      <c r="D75" s="3" t="s">
        <v>35</v>
      </c>
      <c r="E75" s="9" t="s">
        <v>144</v>
      </c>
    </row>
    <row r="76" spans="1:5" x14ac:dyDescent="0.25">
      <c r="A76" s="26"/>
      <c r="B76" s="23"/>
      <c r="C76" s="25"/>
      <c r="D76" s="3" t="s">
        <v>143</v>
      </c>
      <c r="E76" s="7" t="s">
        <v>145</v>
      </c>
    </row>
    <row r="77" spans="1:5" x14ac:dyDescent="0.25">
      <c r="A77" s="26"/>
      <c r="B77" s="23"/>
      <c r="C77" s="25"/>
      <c r="D77" s="3" t="s">
        <v>147</v>
      </c>
      <c r="E77" s="7" t="s">
        <v>146</v>
      </c>
    </row>
    <row r="78" spans="1:5" x14ac:dyDescent="0.25">
      <c r="A78" s="26"/>
      <c r="B78" s="23"/>
      <c r="C78" s="25"/>
      <c r="D78" s="3" t="s">
        <v>148</v>
      </c>
      <c r="E78" s="7" t="s">
        <v>55</v>
      </c>
    </row>
    <row r="79" spans="1:5" ht="142.5" x14ac:dyDescent="0.25">
      <c r="A79" s="5" t="s">
        <v>211</v>
      </c>
      <c r="B79" s="3">
        <v>2021</v>
      </c>
      <c r="C79" s="8" t="s">
        <v>149</v>
      </c>
      <c r="D79" s="8" t="s">
        <v>150</v>
      </c>
      <c r="E79" s="7" t="s">
        <v>151</v>
      </c>
    </row>
    <row r="80" spans="1:5" ht="30" customHeight="1" x14ac:dyDescent="0.25">
      <c r="A80" s="24" t="s">
        <v>212</v>
      </c>
      <c r="B80" s="23">
        <v>2018</v>
      </c>
      <c r="C80" s="25" t="s">
        <v>152</v>
      </c>
      <c r="D80" s="3" t="s">
        <v>25</v>
      </c>
      <c r="E80" s="7" t="s">
        <v>155</v>
      </c>
    </row>
    <row r="81" spans="1:5" x14ac:dyDescent="0.25">
      <c r="A81" s="26"/>
      <c r="B81" s="23"/>
      <c r="C81" s="25"/>
      <c r="D81" s="3" t="s">
        <v>153</v>
      </c>
      <c r="E81" s="7" t="s">
        <v>156</v>
      </c>
    </row>
    <row r="82" spans="1:5" x14ac:dyDescent="0.25">
      <c r="A82" s="26"/>
      <c r="B82" s="23"/>
      <c r="C82" s="25"/>
      <c r="D82" s="3" t="s">
        <v>154</v>
      </c>
      <c r="E82" s="7" t="s">
        <v>157</v>
      </c>
    </row>
    <row r="83" spans="1:5" x14ac:dyDescent="0.25">
      <c r="A83" s="26"/>
      <c r="B83" s="23"/>
      <c r="C83" s="25"/>
      <c r="D83" s="3" t="s">
        <v>17</v>
      </c>
      <c r="E83" s="7" t="s">
        <v>158</v>
      </c>
    </row>
    <row r="84" spans="1:5" ht="30" customHeight="1" x14ac:dyDescent="0.25">
      <c r="A84" s="24" t="s">
        <v>213</v>
      </c>
      <c r="B84" s="23">
        <v>2017</v>
      </c>
      <c r="C84" s="25" t="s">
        <v>159</v>
      </c>
      <c r="D84" s="3" t="s">
        <v>218</v>
      </c>
      <c r="E84" s="7" t="s">
        <v>162</v>
      </c>
    </row>
    <row r="85" spans="1:5" x14ac:dyDescent="0.25">
      <c r="A85" s="26"/>
      <c r="B85" s="23"/>
      <c r="C85" s="25"/>
      <c r="D85" s="3" t="s">
        <v>160</v>
      </c>
      <c r="E85" s="7" t="s">
        <v>163</v>
      </c>
    </row>
    <row r="86" spans="1:5" x14ac:dyDescent="0.25">
      <c r="A86" s="26"/>
      <c r="B86" s="23"/>
      <c r="C86" s="25"/>
      <c r="D86" s="3" t="s">
        <v>25</v>
      </c>
      <c r="E86" s="7" t="s">
        <v>164</v>
      </c>
    </row>
    <row r="87" spans="1:5" x14ac:dyDescent="0.25">
      <c r="A87" s="26"/>
      <c r="B87" s="23"/>
      <c r="C87" s="25"/>
      <c r="D87" s="3" t="s">
        <v>161</v>
      </c>
      <c r="E87" s="7" t="s">
        <v>165</v>
      </c>
    </row>
    <row r="88" spans="1:5" ht="114" x14ac:dyDescent="0.25">
      <c r="A88" s="5" t="s">
        <v>214</v>
      </c>
      <c r="B88" s="3">
        <v>2019</v>
      </c>
      <c r="C88" s="8" t="s">
        <v>166</v>
      </c>
      <c r="D88" s="3" t="s">
        <v>167</v>
      </c>
      <c r="E88" s="7" t="s">
        <v>168</v>
      </c>
    </row>
    <row r="89" spans="1:5" ht="114" x14ac:dyDescent="0.25">
      <c r="A89" s="5" t="s">
        <v>215</v>
      </c>
      <c r="B89" s="3">
        <v>2020</v>
      </c>
      <c r="C89" s="8" t="s">
        <v>169</v>
      </c>
      <c r="D89" s="3" t="s">
        <v>170</v>
      </c>
      <c r="E89" s="7" t="s">
        <v>171</v>
      </c>
    </row>
    <row r="90" spans="1:5" ht="15" customHeight="1" x14ac:dyDescent="0.25">
      <c r="A90" s="24" t="s">
        <v>216</v>
      </c>
      <c r="B90" s="23">
        <v>2020</v>
      </c>
      <c r="C90" s="23" t="s">
        <v>119</v>
      </c>
      <c r="D90" s="3" t="s">
        <v>3</v>
      </c>
      <c r="E90" s="7" t="s">
        <v>37</v>
      </c>
    </row>
    <row r="91" spans="1:5" x14ac:dyDescent="0.25">
      <c r="A91" s="24"/>
      <c r="B91" s="23"/>
      <c r="C91" s="23"/>
      <c r="D91" s="3" t="s">
        <v>25</v>
      </c>
      <c r="E91" s="7" t="s">
        <v>173</v>
      </c>
    </row>
    <row r="92" spans="1:5" x14ac:dyDescent="0.25">
      <c r="A92" s="24"/>
      <c r="B92" s="23"/>
      <c r="C92" s="23"/>
      <c r="D92" s="3" t="s">
        <v>34</v>
      </c>
      <c r="E92" s="7" t="s">
        <v>174</v>
      </c>
    </row>
    <row r="93" spans="1:5" ht="18.95" customHeight="1" x14ac:dyDescent="0.25">
      <c r="A93" s="24"/>
      <c r="B93" s="23"/>
      <c r="C93" s="23"/>
      <c r="D93" s="3" t="s">
        <v>172</v>
      </c>
      <c r="E93" s="7" t="s">
        <v>175</v>
      </c>
    </row>
    <row r="94" spans="1:5" ht="21" customHeight="1" x14ac:dyDescent="0.25">
      <c r="A94" s="24" t="s">
        <v>224</v>
      </c>
      <c r="B94" s="23">
        <v>2024</v>
      </c>
      <c r="C94" s="23" t="s">
        <v>223</v>
      </c>
      <c r="D94" s="3" t="s">
        <v>15</v>
      </c>
      <c r="E94" s="3" t="s">
        <v>221</v>
      </c>
    </row>
    <row r="95" spans="1:5" x14ac:dyDescent="0.25">
      <c r="A95" s="24"/>
      <c r="B95" s="23"/>
      <c r="C95" s="23"/>
      <c r="D95" s="3" t="s">
        <v>219</v>
      </c>
      <c r="E95" s="7" t="s">
        <v>220</v>
      </c>
    </row>
    <row r="96" spans="1:5" x14ac:dyDescent="0.25">
      <c r="A96" s="24"/>
      <c r="B96" s="23"/>
      <c r="C96" s="23"/>
      <c r="D96" s="3" t="s">
        <v>4</v>
      </c>
      <c r="E96" s="7" t="s">
        <v>222</v>
      </c>
    </row>
    <row r="97" spans="1:5" ht="18.95" customHeight="1" x14ac:dyDescent="0.25">
      <c r="A97" s="24" t="s">
        <v>230</v>
      </c>
      <c r="B97" s="23">
        <v>2024</v>
      </c>
      <c r="C97" s="25" t="s">
        <v>231</v>
      </c>
      <c r="D97" s="3" t="s">
        <v>15</v>
      </c>
      <c r="E97" s="3" t="s">
        <v>226</v>
      </c>
    </row>
    <row r="98" spans="1:5" x14ac:dyDescent="0.25">
      <c r="A98" s="24"/>
      <c r="B98" s="23"/>
      <c r="C98" s="23"/>
      <c r="D98" s="3" t="s">
        <v>4</v>
      </c>
      <c r="E98" s="3" t="s">
        <v>227</v>
      </c>
    </row>
    <row r="99" spans="1:5" x14ac:dyDescent="0.25">
      <c r="A99" s="24"/>
      <c r="B99" s="23"/>
      <c r="C99" s="23"/>
      <c r="D99" s="3" t="s">
        <v>17</v>
      </c>
      <c r="E99" s="3" t="s">
        <v>228</v>
      </c>
    </row>
    <row r="100" spans="1:5" x14ac:dyDescent="0.25">
      <c r="A100" s="24"/>
      <c r="B100" s="23"/>
      <c r="C100" s="23"/>
      <c r="D100" s="3" t="s">
        <v>18</v>
      </c>
      <c r="E100" s="3" t="s">
        <v>229</v>
      </c>
    </row>
    <row r="101" spans="1:5" ht="30" customHeight="1" x14ac:dyDescent="0.25">
      <c r="A101" s="24" t="s">
        <v>232</v>
      </c>
      <c r="B101" s="23">
        <v>2024</v>
      </c>
      <c r="C101" s="23" t="s">
        <v>233</v>
      </c>
      <c r="D101" s="3" t="s">
        <v>15</v>
      </c>
      <c r="E101" s="7" t="s">
        <v>236</v>
      </c>
    </row>
    <row r="102" spans="1:5" x14ac:dyDescent="0.25">
      <c r="A102" s="24"/>
      <c r="B102" s="23"/>
      <c r="C102" s="23"/>
      <c r="D102" s="3" t="s">
        <v>176</v>
      </c>
      <c r="E102" s="7" t="s">
        <v>237</v>
      </c>
    </row>
    <row r="103" spans="1:5" x14ac:dyDescent="0.25">
      <c r="A103" s="24"/>
      <c r="B103" s="23"/>
      <c r="C103" s="23"/>
      <c r="D103" s="3" t="s">
        <v>17</v>
      </c>
      <c r="E103" s="7" t="s">
        <v>238</v>
      </c>
    </row>
    <row r="104" spans="1:5" x14ac:dyDescent="0.25">
      <c r="A104" s="24"/>
      <c r="B104" s="23"/>
      <c r="C104" s="23"/>
      <c r="D104" s="3" t="s">
        <v>52</v>
      </c>
      <c r="E104" s="7" t="s">
        <v>239</v>
      </c>
    </row>
    <row r="105" spans="1:5" x14ac:dyDescent="0.25">
      <c r="A105" s="24"/>
      <c r="B105" s="23"/>
      <c r="C105" s="23"/>
      <c r="D105" s="3" t="s">
        <v>4</v>
      </c>
      <c r="E105" s="7" t="s">
        <v>240</v>
      </c>
    </row>
    <row r="106" spans="1:5" x14ac:dyDescent="0.25">
      <c r="A106" s="24"/>
      <c r="B106" s="23"/>
      <c r="C106" s="23"/>
      <c r="D106" s="3" t="s">
        <v>225</v>
      </c>
      <c r="E106" s="7" t="s">
        <v>241</v>
      </c>
    </row>
    <row r="107" spans="1:5" x14ac:dyDescent="0.25">
      <c r="A107" s="24"/>
      <c r="B107" s="23"/>
      <c r="C107" s="23"/>
      <c r="D107" s="3" t="s">
        <v>234</v>
      </c>
      <c r="E107" s="7" t="s">
        <v>242</v>
      </c>
    </row>
    <row r="108" spans="1:5" x14ac:dyDescent="0.25">
      <c r="A108" s="24"/>
      <c r="B108" s="23"/>
      <c r="C108" s="23"/>
      <c r="D108" s="3" t="s">
        <v>235</v>
      </c>
      <c r="E108" s="7" t="s">
        <v>243</v>
      </c>
    </row>
    <row r="109" spans="1:5" ht="39.950000000000003" customHeight="1" x14ac:dyDescent="0.25">
      <c r="A109" s="24" t="s">
        <v>244</v>
      </c>
      <c r="B109" s="23">
        <v>2024</v>
      </c>
      <c r="C109" s="25" t="s">
        <v>231</v>
      </c>
      <c r="D109" s="3" t="s">
        <v>176</v>
      </c>
      <c r="E109" s="7" t="s">
        <v>260</v>
      </c>
    </row>
    <row r="110" spans="1:5" x14ac:dyDescent="0.25">
      <c r="A110" s="24"/>
      <c r="B110" s="23"/>
      <c r="C110" s="23"/>
      <c r="D110" s="3" t="s">
        <v>15</v>
      </c>
      <c r="E110" s="7" t="s">
        <v>261</v>
      </c>
    </row>
    <row r="111" spans="1:5" x14ac:dyDescent="0.25">
      <c r="A111" s="24"/>
      <c r="B111" s="23"/>
      <c r="C111" s="23"/>
      <c r="D111" s="3" t="s">
        <v>245</v>
      </c>
      <c r="E111" s="7" t="s">
        <v>262</v>
      </c>
    </row>
    <row r="112" spans="1:5" ht="30" customHeight="1" x14ac:dyDescent="0.25">
      <c r="A112" s="24" t="s">
        <v>250</v>
      </c>
      <c r="B112" s="23">
        <v>2025</v>
      </c>
      <c r="C112" s="23"/>
      <c r="D112" s="3" t="s">
        <v>246</v>
      </c>
      <c r="E112" s="7" t="s">
        <v>263</v>
      </c>
    </row>
    <row r="113" spans="1:5" x14ac:dyDescent="0.25">
      <c r="A113" s="24"/>
      <c r="B113" s="23"/>
      <c r="C113" s="23"/>
      <c r="D113" s="3" t="s">
        <v>247</v>
      </c>
      <c r="E113" s="7" t="s">
        <v>86</v>
      </c>
    </row>
    <row r="114" spans="1:5" x14ac:dyDescent="0.25">
      <c r="A114" s="24"/>
      <c r="B114" s="23"/>
      <c r="C114" s="23"/>
      <c r="D114" s="3" t="s">
        <v>248</v>
      </c>
      <c r="E114" s="7" t="s">
        <v>86</v>
      </c>
    </row>
    <row r="115" spans="1:5" x14ac:dyDescent="0.25">
      <c r="A115" s="24"/>
      <c r="B115" s="23"/>
      <c r="C115" s="23"/>
      <c r="D115" s="3" t="s">
        <v>249</v>
      </c>
      <c r="E115" s="7" t="s">
        <v>264</v>
      </c>
    </row>
    <row r="116" spans="1:5" x14ac:dyDescent="0.25">
      <c r="A116" s="24" t="s">
        <v>253</v>
      </c>
      <c r="B116" s="23">
        <v>2025</v>
      </c>
      <c r="C116" s="23"/>
      <c r="D116" s="3" t="s">
        <v>161</v>
      </c>
      <c r="E116" s="7" t="s">
        <v>265</v>
      </c>
    </row>
    <row r="117" spans="1:5" x14ac:dyDescent="0.25">
      <c r="A117" s="24"/>
      <c r="B117" s="23"/>
      <c r="C117" s="23"/>
      <c r="D117" s="3" t="s">
        <v>4</v>
      </c>
      <c r="E117" s="7" t="s">
        <v>175</v>
      </c>
    </row>
    <row r="118" spans="1:5" x14ac:dyDescent="0.25">
      <c r="A118" s="24"/>
      <c r="B118" s="23"/>
      <c r="C118" s="23"/>
      <c r="D118" s="3" t="s">
        <v>251</v>
      </c>
      <c r="E118" s="7" t="s">
        <v>266</v>
      </c>
    </row>
    <row r="119" spans="1:5" x14ac:dyDescent="0.25">
      <c r="A119" s="24"/>
      <c r="B119" s="23"/>
      <c r="C119" s="23"/>
      <c r="D119" s="3" t="s">
        <v>15</v>
      </c>
      <c r="E119" s="7" t="s">
        <v>267</v>
      </c>
    </row>
    <row r="120" spans="1:5" x14ac:dyDescent="0.25">
      <c r="A120" s="24"/>
      <c r="B120" s="23"/>
      <c r="C120" s="23"/>
      <c r="D120" s="3" t="s">
        <v>252</v>
      </c>
      <c r="E120" s="7" t="s">
        <v>268</v>
      </c>
    </row>
    <row r="121" spans="1:5" x14ac:dyDescent="0.25">
      <c r="A121" s="24"/>
      <c r="B121" s="23"/>
      <c r="C121" s="23"/>
      <c r="D121" s="3" t="s">
        <v>176</v>
      </c>
      <c r="E121" s="7" t="s">
        <v>267</v>
      </c>
    </row>
    <row r="122" spans="1:5" x14ac:dyDescent="0.25">
      <c r="A122" s="24" t="s">
        <v>271</v>
      </c>
      <c r="B122" s="23">
        <v>2025</v>
      </c>
      <c r="C122" s="23"/>
      <c r="D122" s="3" t="s">
        <v>254</v>
      </c>
      <c r="E122" s="9">
        <v>0.96</v>
      </c>
    </row>
    <row r="123" spans="1:5" x14ac:dyDescent="0.25">
      <c r="A123" s="24"/>
      <c r="B123" s="23"/>
      <c r="C123" s="23"/>
      <c r="D123" s="3" t="s">
        <v>52</v>
      </c>
      <c r="E123" s="9">
        <v>0.96</v>
      </c>
    </row>
    <row r="124" spans="1:5" x14ac:dyDescent="0.25">
      <c r="A124" s="24"/>
      <c r="B124" s="23"/>
      <c r="C124" s="23"/>
      <c r="D124" s="3" t="s">
        <v>234</v>
      </c>
      <c r="E124" s="9">
        <v>0.94</v>
      </c>
    </row>
    <row r="125" spans="1:5" x14ac:dyDescent="0.25">
      <c r="A125" s="24"/>
      <c r="B125" s="23"/>
      <c r="C125" s="23"/>
      <c r="D125" s="3" t="s">
        <v>15</v>
      </c>
      <c r="E125" s="9">
        <v>0.97</v>
      </c>
    </row>
    <row r="126" spans="1:5" x14ac:dyDescent="0.25">
      <c r="A126" s="24"/>
      <c r="B126" s="23"/>
      <c r="C126" s="23"/>
      <c r="D126" s="3" t="s">
        <v>19</v>
      </c>
      <c r="E126" s="9">
        <v>0.95</v>
      </c>
    </row>
    <row r="127" spans="1:5" x14ac:dyDescent="0.25">
      <c r="A127" s="24"/>
      <c r="B127" s="23"/>
      <c r="C127" s="23"/>
      <c r="D127" s="3" t="s">
        <v>18</v>
      </c>
      <c r="E127" s="9">
        <v>0.95</v>
      </c>
    </row>
    <row r="128" spans="1:5" x14ac:dyDescent="0.25">
      <c r="A128" s="24"/>
      <c r="B128" s="23"/>
      <c r="C128" s="23"/>
      <c r="D128" s="3" t="s">
        <v>255</v>
      </c>
      <c r="E128" s="7" t="s">
        <v>269</v>
      </c>
    </row>
    <row r="129" spans="1:5" x14ac:dyDescent="0.25">
      <c r="A129" s="24"/>
      <c r="B129" s="23"/>
      <c r="C129" s="23"/>
      <c r="D129" s="3" t="s">
        <v>256</v>
      </c>
      <c r="E129" s="9">
        <v>0.92</v>
      </c>
    </row>
    <row r="130" spans="1:5" x14ac:dyDescent="0.25">
      <c r="A130" s="24"/>
      <c r="B130" s="23"/>
      <c r="C130" s="23"/>
      <c r="D130" s="3" t="s">
        <v>257</v>
      </c>
      <c r="E130" s="9">
        <v>0.81</v>
      </c>
    </row>
    <row r="131" spans="1:5" x14ac:dyDescent="0.25">
      <c r="A131" s="24"/>
      <c r="B131" s="23"/>
      <c r="C131" s="23"/>
      <c r="D131" s="3" t="s">
        <v>258</v>
      </c>
      <c r="E131" s="7" t="s">
        <v>270</v>
      </c>
    </row>
    <row r="132" spans="1:5" ht="14.1" customHeight="1" x14ac:dyDescent="0.25">
      <c r="A132" s="24"/>
      <c r="B132" s="23"/>
      <c r="C132" s="23"/>
      <c r="D132" s="3" t="s">
        <v>259</v>
      </c>
      <c r="E132" s="9">
        <v>0.99</v>
      </c>
    </row>
    <row r="133" spans="1:5" x14ac:dyDescent="0.25">
      <c r="A133" s="24" t="s">
        <v>273</v>
      </c>
      <c r="B133" s="23">
        <v>2025</v>
      </c>
      <c r="C133" s="23"/>
      <c r="D133" s="3" t="s">
        <v>17</v>
      </c>
      <c r="E133" s="9">
        <v>0.77</v>
      </c>
    </row>
    <row r="134" spans="1:5" x14ac:dyDescent="0.25">
      <c r="A134" s="24"/>
      <c r="B134" s="23"/>
      <c r="C134" s="23"/>
      <c r="D134" s="3" t="s">
        <v>15</v>
      </c>
      <c r="E134" s="9">
        <v>0.81</v>
      </c>
    </row>
    <row r="135" spans="1:5" x14ac:dyDescent="0.25">
      <c r="A135" s="24"/>
      <c r="B135" s="23"/>
      <c r="C135" s="23"/>
      <c r="D135" s="3" t="s">
        <v>16</v>
      </c>
      <c r="E135" s="9">
        <v>0.8</v>
      </c>
    </row>
    <row r="136" spans="1:5" x14ac:dyDescent="0.25">
      <c r="A136" s="24"/>
      <c r="B136" s="23"/>
      <c r="C136" s="23"/>
      <c r="D136" s="3" t="s">
        <v>272</v>
      </c>
      <c r="E136" s="9">
        <v>0.84</v>
      </c>
    </row>
    <row r="137" spans="1:5" x14ac:dyDescent="0.25">
      <c r="A137" s="24" t="s">
        <v>276</v>
      </c>
      <c r="B137" s="23">
        <v>2026</v>
      </c>
      <c r="C137" s="23"/>
      <c r="D137" s="3" t="s">
        <v>22</v>
      </c>
      <c r="E137" s="15">
        <v>0.94</v>
      </c>
    </row>
    <row r="138" spans="1:5" x14ac:dyDescent="0.25">
      <c r="A138" s="24"/>
      <c r="B138" s="23"/>
      <c r="C138" s="23"/>
      <c r="D138" s="3" t="s">
        <v>52</v>
      </c>
      <c r="E138" s="15">
        <v>0.95</v>
      </c>
    </row>
    <row r="139" spans="1:5" x14ac:dyDescent="0.25">
      <c r="A139" s="24"/>
      <c r="B139" s="23"/>
      <c r="C139" s="23"/>
      <c r="D139" s="3" t="s">
        <v>4</v>
      </c>
      <c r="E139" s="15">
        <v>0.67</v>
      </c>
    </row>
    <row r="140" spans="1:5" x14ac:dyDescent="0.25">
      <c r="A140" s="24"/>
      <c r="B140" s="23"/>
      <c r="C140" s="23"/>
      <c r="D140" s="3" t="s">
        <v>15</v>
      </c>
      <c r="E140" s="15">
        <v>0.97</v>
      </c>
    </row>
    <row r="141" spans="1:5" x14ac:dyDescent="0.25">
      <c r="A141" s="24"/>
      <c r="B141" s="23"/>
      <c r="C141" s="23"/>
      <c r="D141" s="3" t="s">
        <v>17</v>
      </c>
      <c r="E141" s="15">
        <v>0.94</v>
      </c>
    </row>
    <row r="142" spans="1:5" x14ac:dyDescent="0.25">
      <c r="A142" s="24"/>
      <c r="B142" s="23"/>
      <c r="C142" s="23"/>
      <c r="D142" s="3" t="s">
        <v>274</v>
      </c>
      <c r="E142" s="15">
        <v>0.96</v>
      </c>
    </row>
    <row r="143" spans="1:5" x14ac:dyDescent="0.25">
      <c r="A143" s="24"/>
      <c r="B143" s="23"/>
      <c r="C143" s="23"/>
      <c r="D143" s="3" t="s">
        <v>275</v>
      </c>
      <c r="E143" s="15">
        <v>0.95</v>
      </c>
    </row>
    <row r="144" spans="1:5" x14ac:dyDescent="0.25">
      <c r="A144" s="5"/>
      <c r="E144" s="15"/>
    </row>
    <row r="145" spans="1:5" x14ac:dyDescent="0.25">
      <c r="A145" s="5"/>
      <c r="E145" s="15"/>
    </row>
    <row r="146" spans="1:5" x14ac:dyDescent="0.25">
      <c r="A146" s="5"/>
      <c r="E146" s="15"/>
    </row>
    <row r="147" spans="1:5" x14ac:dyDescent="0.25">
      <c r="A147" s="5"/>
      <c r="E147" s="15"/>
    </row>
    <row r="148" spans="1:5" x14ac:dyDescent="0.25">
      <c r="A148" s="14"/>
    </row>
    <row r="149" spans="1:5" x14ac:dyDescent="0.25">
      <c r="A149" s="20"/>
      <c r="B149" s="14"/>
      <c r="C149" s="22"/>
      <c r="D149" s="14"/>
    </row>
    <row r="150" spans="1:5" x14ac:dyDescent="0.25">
      <c r="A150" s="21"/>
      <c r="B150"/>
      <c r="C150" s="13"/>
      <c r="D150"/>
    </row>
    <row r="151" spans="1:5" x14ac:dyDescent="0.25">
      <c r="A151" s="21"/>
      <c r="B151"/>
      <c r="C151" s="13"/>
      <c r="D151"/>
    </row>
    <row r="152" spans="1:5" x14ac:dyDescent="0.25">
      <c r="A152" s="21"/>
      <c r="B152"/>
      <c r="C152" s="13"/>
      <c r="D152"/>
    </row>
    <row r="153" spans="1:5" x14ac:dyDescent="0.25">
      <c r="A153" s="21"/>
      <c r="B153"/>
      <c r="C153" s="13"/>
      <c r="D153"/>
    </row>
    <row r="154" spans="1:5" x14ac:dyDescent="0.25">
      <c r="A154" s="21"/>
      <c r="B154"/>
      <c r="C154" s="13"/>
      <c r="D154"/>
      <c r="E154" s="3"/>
    </row>
    <row r="155" spans="1:5" x14ac:dyDescent="0.25">
      <c r="A155" s="21"/>
      <c r="B155"/>
      <c r="C155" s="13"/>
      <c r="D155"/>
      <c r="E155" s="3"/>
    </row>
    <row r="156" spans="1:5" x14ac:dyDescent="0.25">
      <c r="A156" s="21"/>
      <c r="B156"/>
      <c r="C156" s="13"/>
      <c r="D156"/>
      <c r="E156" s="3"/>
    </row>
    <row r="157" spans="1:5" x14ac:dyDescent="0.25">
      <c r="A157" s="21"/>
      <c r="B157"/>
      <c r="C157" s="13"/>
      <c r="D157"/>
      <c r="E157" s="3"/>
    </row>
    <row r="158" spans="1:5" x14ac:dyDescent="0.25">
      <c r="A158" s="21"/>
      <c r="B158"/>
      <c r="C158" s="13"/>
      <c r="D158"/>
      <c r="E158" s="3"/>
    </row>
    <row r="159" spans="1:5" x14ac:dyDescent="0.25">
      <c r="A159" s="21"/>
      <c r="B159"/>
      <c r="C159" s="13"/>
      <c r="D159"/>
    </row>
    <row r="160" spans="1:5" x14ac:dyDescent="0.25">
      <c r="A160" s="3"/>
      <c r="B160"/>
      <c r="C160" s="13"/>
      <c r="D160"/>
    </row>
    <row r="161" spans="1:11" x14ac:dyDescent="0.25">
      <c r="A161" s="8"/>
      <c r="B161" s="18"/>
      <c r="C161" s="17"/>
    </row>
    <row r="162" spans="1:11" x14ac:dyDescent="0.25">
      <c r="A162" s="8"/>
      <c r="B162" s="18"/>
      <c r="C162" s="17"/>
    </row>
    <row r="163" spans="1:11" x14ac:dyDescent="0.25">
      <c r="A163" s="8"/>
      <c r="B163" s="18"/>
      <c r="C163" s="17"/>
    </row>
    <row r="164" spans="1:11" x14ac:dyDescent="0.25">
      <c r="A164" s="8"/>
      <c r="B164" s="18"/>
      <c r="C164" s="17"/>
    </row>
    <row r="165" spans="1:11" x14ac:dyDescent="0.25">
      <c r="A165" s="8"/>
      <c r="B165" s="18"/>
      <c r="C165" s="17"/>
    </row>
    <row r="166" spans="1:11" x14ac:dyDescent="0.25">
      <c r="A166" s="12"/>
      <c r="B166" s="8"/>
      <c r="C166" s="10"/>
    </row>
    <row r="167" spans="1:11" x14ac:dyDescent="0.25">
      <c r="A167" s="12"/>
      <c r="B167" s="8"/>
      <c r="C167" s="10"/>
    </row>
    <row r="168" spans="1:11" ht="18.75" x14ac:dyDescent="0.25">
      <c r="A168" s="19"/>
      <c r="B168"/>
      <c r="C168" s="13"/>
      <c r="E168" s="3"/>
    </row>
    <row r="169" spans="1:11" x14ac:dyDescent="0.25">
      <c r="A169" s="3"/>
      <c r="B169"/>
      <c r="C169" s="13"/>
      <c r="E169" s="3"/>
    </row>
    <row r="170" spans="1:11" x14ac:dyDescent="0.25">
      <c r="A170" s="10"/>
      <c r="B170" s="10"/>
      <c r="C170" s="10"/>
      <c r="D170" s="10"/>
      <c r="E170" s="10"/>
      <c r="G170" s="10"/>
      <c r="H170" s="10"/>
      <c r="I170" s="10"/>
      <c r="J170" s="10"/>
      <c r="K170" s="10"/>
    </row>
    <row r="171" spans="1:11" x14ac:dyDescent="0.25">
      <c r="A171" s="8"/>
      <c r="B171" s="1"/>
      <c r="C171" s="8"/>
      <c r="D171" s="8"/>
      <c r="E171" s="8"/>
      <c r="G171" s="1"/>
      <c r="H171" s="1"/>
      <c r="I171" s="1"/>
      <c r="J171" s="1"/>
      <c r="K171" s="1"/>
    </row>
    <row r="172" spans="1:11" x14ac:dyDescent="0.25">
      <c r="A172" s="8"/>
      <c r="B172" s="1"/>
      <c r="C172" s="8"/>
      <c r="D172" s="8"/>
      <c r="E172" s="8"/>
      <c r="G172" s="1"/>
      <c r="H172" s="1"/>
      <c r="I172" s="1"/>
      <c r="J172" s="1"/>
      <c r="K172" s="1"/>
    </row>
    <row r="173" spans="1:11" x14ac:dyDescent="0.25">
      <c r="A173" s="8"/>
      <c r="B173" s="1"/>
      <c r="C173" s="8"/>
      <c r="D173" s="8"/>
      <c r="E173" s="8"/>
      <c r="G173" s="1"/>
      <c r="H173" s="1"/>
      <c r="I173" s="1"/>
      <c r="J173" s="1"/>
      <c r="K173" s="1"/>
    </row>
    <row r="174" spans="1:11" x14ac:dyDescent="0.25">
      <c r="A174" s="8"/>
      <c r="B174" s="1"/>
      <c r="C174" s="8"/>
      <c r="D174" s="8"/>
      <c r="E174" s="8"/>
      <c r="G174" s="1"/>
      <c r="H174" s="1"/>
      <c r="I174" s="1"/>
      <c r="J174" s="1"/>
      <c r="K174" s="1"/>
    </row>
    <row r="175" spans="1:11" x14ac:dyDescent="0.25">
      <c r="A175" s="8"/>
      <c r="B175" s="1"/>
      <c r="C175" s="8"/>
      <c r="D175" s="8"/>
      <c r="E175" s="8"/>
      <c r="G175" s="1"/>
      <c r="H175" s="1"/>
      <c r="I175" s="1"/>
      <c r="J175" s="1"/>
      <c r="K175" s="1"/>
    </row>
    <row r="176" spans="1:11" x14ac:dyDescent="0.25">
      <c r="A176" s="8"/>
      <c r="B176" s="1"/>
      <c r="C176" s="8"/>
      <c r="D176" s="8"/>
      <c r="E176" s="8"/>
      <c r="G176" s="1"/>
      <c r="H176" s="1"/>
      <c r="I176" s="1"/>
      <c r="J176" s="1"/>
      <c r="K176" s="1"/>
    </row>
    <row r="177" spans="1:11" x14ac:dyDescent="0.25">
      <c r="A177" s="12"/>
      <c r="B177" s="16"/>
      <c r="C177" s="12"/>
      <c r="D177" s="12"/>
      <c r="E177" s="12"/>
      <c r="G177" s="11"/>
      <c r="H177" s="11"/>
      <c r="I177" s="11"/>
      <c r="J177" s="11"/>
      <c r="K177" s="11"/>
    </row>
    <row r="178" spans="1:11" x14ac:dyDescent="0.25">
      <c r="A178" s="12"/>
      <c r="B178" s="8"/>
      <c r="C178" s="10"/>
      <c r="D178" s="8"/>
    </row>
    <row r="179" spans="1:11" x14ac:dyDescent="0.25">
      <c r="A179" s="12"/>
      <c r="B179" s="8"/>
      <c r="C179" s="10"/>
      <c r="D179" s="8"/>
    </row>
    <row r="180" spans="1:11" x14ac:dyDescent="0.25">
      <c r="A180" s="12"/>
      <c r="B180" s="8"/>
      <c r="C180" s="10"/>
      <c r="D180" s="8"/>
    </row>
    <row r="181" spans="1:11" x14ac:dyDescent="0.25">
      <c r="A181" s="10"/>
      <c r="B181" s="10"/>
      <c r="C181" s="10"/>
      <c r="D181" s="10"/>
      <c r="E181" s="10"/>
    </row>
    <row r="182" spans="1:11" ht="23.25" customHeight="1" x14ac:dyDescent="0.25">
      <c r="A182" s="8"/>
      <c r="B182" s="8"/>
      <c r="C182" s="8"/>
      <c r="D182" s="8"/>
      <c r="E182" s="8"/>
    </row>
    <row r="183" spans="1:11" ht="24.75" customHeight="1" x14ac:dyDescent="0.25">
      <c r="A183" s="8"/>
      <c r="B183" s="8"/>
      <c r="C183" s="8"/>
      <c r="D183" s="8"/>
      <c r="E183" s="8"/>
    </row>
    <row r="184" spans="1:11" ht="28.5" customHeight="1" x14ac:dyDescent="0.25">
      <c r="A184" s="8"/>
      <c r="B184" s="8"/>
      <c r="C184" s="8"/>
      <c r="D184" s="8"/>
      <c r="E184" s="8"/>
    </row>
    <row r="185" spans="1:11" ht="24.75" customHeight="1" x14ac:dyDescent="0.25">
      <c r="A185" s="8"/>
      <c r="B185" s="8"/>
      <c r="C185" s="8"/>
      <c r="D185" s="8"/>
      <c r="E185" s="8"/>
    </row>
    <row r="186" spans="1:11" ht="25.5" customHeight="1" x14ac:dyDescent="0.25">
      <c r="A186" s="8"/>
      <c r="B186" s="8"/>
      <c r="C186" s="8"/>
      <c r="D186" s="8"/>
      <c r="E186" s="8"/>
    </row>
    <row r="187" spans="1:11" ht="21" customHeight="1" x14ac:dyDescent="0.25">
      <c r="A187" s="8"/>
      <c r="B187" s="8"/>
      <c r="C187" s="8"/>
      <c r="D187" s="8"/>
      <c r="E187" s="8"/>
    </row>
    <row r="188" spans="1:11" ht="25.5" customHeight="1" x14ac:dyDescent="0.25">
      <c r="A188" s="8"/>
      <c r="B188" s="8"/>
      <c r="C188" s="8"/>
      <c r="D188" s="8"/>
      <c r="E188" s="8"/>
    </row>
    <row r="189" spans="1:11" x14ac:dyDescent="0.25">
      <c r="A189" s="8"/>
      <c r="B189" s="8"/>
      <c r="C189" s="8"/>
      <c r="D189" s="8"/>
      <c r="E189" s="8"/>
    </row>
    <row r="190" spans="1:11" x14ac:dyDescent="0.25">
      <c r="A190" s="8"/>
      <c r="B190" s="8"/>
      <c r="C190" s="8"/>
      <c r="D190" s="8"/>
      <c r="E190" s="8"/>
    </row>
    <row r="191" spans="1:11" ht="26.25" customHeight="1" x14ac:dyDescent="0.25">
      <c r="A191" s="8"/>
      <c r="B191" s="8"/>
      <c r="C191" s="8"/>
      <c r="D191" s="8"/>
      <c r="E191" s="8"/>
    </row>
  </sheetData>
  <mergeCells count="96">
    <mergeCell ref="A137:A143"/>
    <mergeCell ref="B137:B143"/>
    <mergeCell ref="C137:C143"/>
    <mergeCell ref="B122:B132"/>
    <mergeCell ref="C122:C132"/>
    <mergeCell ref="A122:A132"/>
    <mergeCell ref="B133:B136"/>
    <mergeCell ref="C133:C136"/>
    <mergeCell ref="A133:A136"/>
    <mergeCell ref="A112:A115"/>
    <mergeCell ref="B112:B115"/>
    <mergeCell ref="C112:C115"/>
    <mergeCell ref="B116:B121"/>
    <mergeCell ref="A116:A121"/>
    <mergeCell ref="C116:C121"/>
    <mergeCell ref="C101:C108"/>
    <mergeCell ref="B101:B108"/>
    <mergeCell ref="A101:A108"/>
    <mergeCell ref="B109:B111"/>
    <mergeCell ref="A109:A111"/>
    <mergeCell ref="C109:C111"/>
    <mergeCell ref="B94:B96"/>
    <mergeCell ref="C94:C96"/>
    <mergeCell ref="A94:A96"/>
    <mergeCell ref="A97:A100"/>
    <mergeCell ref="B97:B100"/>
    <mergeCell ref="C97:C100"/>
    <mergeCell ref="C8:C11"/>
    <mergeCell ref="C3:C7"/>
    <mergeCell ref="B3:B7"/>
    <mergeCell ref="A3:A7"/>
    <mergeCell ref="B8:B11"/>
    <mergeCell ref="A8:A11"/>
    <mergeCell ref="C12:C15"/>
    <mergeCell ref="B12:B15"/>
    <mergeCell ref="A12:A15"/>
    <mergeCell ref="C16:C18"/>
    <mergeCell ref="B16:B18"/>
    <mergeCell ref="A16:A18"/>
    <mergeCell ref="C25:C26"/>
    <mergeCell ref="B25:B26"/>
    <mergeCell ref="A25:A26"/>
    <mergeCell ref="C20:C22"/>
    <mergeCell ref="B20:B22"/>
    <mergeCell ref="A20:A22"/>
    <mergeCell ref="C23:C24"/>
    <mergeCell ref="B23:B24"/>
    <mergeCell ref="A23:A24"/>
    <mergeCell ref="C32:C34"/>
    <mergeCell ref="B32:B34"/>
    <mergeCell ref="A32:A34"/>
    <mergeCell ref="C36:C38"/>
    <mergeCell ref="B36:B38"/>
    <mergeCell ref="C44:C46"/>
    <mergeCell ref="B44:B46"/>
    <mergeCell ref="A44:A46"/>
    <mergeCell ref="A36:A38"/>
    <mergeCell ref="C40:C41"/>
    <mergeCell ref="B40:B41"/>
    <mergeCell ref="A40:A41"/>
    <mergeCell ref="C42:C43"/>
    <mergeCell ref="B42:B43"/>
    <mergeCell ref="A42:A43"/>
    <mergeCell ref="C47:C48"/>
    <mergeCell ref="B47:B48"/>
    <mergeCell ref="A47:A48"/>
    <mergeCell ref="C49:C52"/>
    <mergeCell ref="B49:B52"/>
    <mergeCell ref="A49:A52"/>
    <mergeCell ref="C59:C62"/>
    <mergeCell ref="B59:B62"/>
    <mergeCell ref="A59:A62"/>
    <mergeCell ref="C53:C57"/>
    <mergeCell ref="B53:B57"/>
    <mergeCell ref="A53:A57"/>
    <mergeCell ref="C66:C67"/>
    <mergeCell ref="B66:B67"/>
    <mergeCell ref="A66:A67"/>
    <mergeCell ref="C68:C69"/>
    <mergeCell ref="B68:B69"/>
    <mergeCell ref="A68:A69"/>
    <mergeCell ref="C71:C74"/>
    <mergeCell ref="B71:B74"/>
    <mergeCell ref="A71:A74"/>
    <mergeCell ref="C75:C78"/>
    <mergeCell ref="B75:B78"/>
    <mergeCell ref="A75:A78"/>
    <mergeCell ref="C90:C93"/>
    <mergeCell ref="B90:B93"/>
    <mergeCell ref="A90:A93"/>
    <mergeCell ref="C80:C83"/>
    <mergeCell ref="B80:B83"/>
    <mergeCell ref="A80:A83"/>
    <mergeCell ref="C84:C87"/>
    <mergeCell ref="B84:B87"/>
    <mergeCell ref="A84:A8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BA4D-B55A-4D43-AB69-0FD5D9AD3392}">
  <dimension ref="A1:C58"/>
  <sheetViews>
    <sheetView tabSelected="1" workbookViewId="0">
      <selection activeCell="G12" sqref="G12"/>
    </sheetView>
  </sheetViews>
  <sheetFormatPr defaultColWidth="11.42578125" defaultRowHeight="15" x14ac:dyDescent="0.25"/>
  <cols>
    <col min="1" max="1" width="32.140625" style="3" bestFit="1" customWidth="1"/>
    <col min="2" max="2" width="17.85546875" style="3" customWidth="1"/>
  </cols>
  <sheetData>
    <row r="1" spans="1:3" ht="30" x14ac:dyDescent="0.25">
      <c r="A1" s="8" t="s">
        <v>120</v>
      </c>
      <c r="B1" s="3">
        <v>1</v>
      </c>
    </row>
    <row r="2" spans="1:3" x14ac:dyDescent="0.25">
      <c r="A2" s="3" t="s">
        <v>15</v>
      </c>
      <c r="B2" s="3">
        <v>21</v>
      </c>
      <c r="C2">
        <f>21*100/142</f>
        <v>14.788732394366198</v>
      </c>
    </row>
    <row r="3" spans="1:3" x14ac:dyDescent="0.25">
      <c r="A3" s="3" t="s">
        <v>17</v>
      </c>
      <c r="B3" s="3">
        <v>12</v>
      </c>
      <c r="C3">
        <f>12*100/142</f>
        <v>8.4507042253521121</v>
      </c>
    </row>
    <row r="4" spans="1:3" x14ac:dyDescent="0.25">
      <c r="A4" s="3" t="s">
        <v>22</v>
      </c>
      <c r="B4" s="3">
        <v>12</v>
      </c>
      <c r="C4">
        <f>12*100/142</f>
        <v>8.4507042253521121</v>
      </c>
    </row>
    <row r="5" spans="1:3" x14ac:dyDescent="0.25">
      <c r="A5" s="3" t="s">
        <v>4</v>
      </c>
      <c r="B5" s="3">
        <v>10</v>
      </c>
      <c r="C5">
        <f>10*100/142</f>
        <v>7.042253521126761</v>
      </c>
    </row>
    <row r="6" spans="1:3" x14ac:dyDescent="0.25">
      <c r="A6" s="3" t="s">
        <v>176</v>
      </c>
      <c r="B6" s="3">
        <v>7</v>
      </c>
      <c r="C6">
        <f>7*100/142</f>
        <v>4.929577464788732</v>
      </c>
    </row>
    <row r="7" spans="1:3" x14ac:dyDescent="0.25">
      <c r="A7" s="3" t="s">
        <v>52</v>
      </c>
      <c r="B7" s="3">
        <v>7</v>
      </c>
      <c r="C7">
        <f>7*100/142</f>
        <v>4.929577464788732</v>
      </c>
    </row>
    <row r="8" spans="1:3" x14ac:dyDescent="0.25">
      <c r="A8" s="3" t="s">
        <v>18</v>
      </c>
      <c r="B8" s="3">
        <v>6</v>
      </c>
      <c r="C8">
        <f>6*100/142</f>
        <v>4.225352112676056</v>
      </c>
    </row>
    <row r="9" spans="1:3" x14ac:dyDescent="0.25">
      <c r="A9" s="3" t="s">
        <v>16</v>
      </c>
      <c r="B9" s="3">
        <v>6</v>
      </c>
      <c r="C9">
        <f>6*100/142</f>
        <v>4.225352112676056</v>
      </c>
    </row>
    <row r="10" spans="1:3" x14ac:dyDescent="0.25">
      <c r="A10" s="5" t="s">
        <v>29</v>
      </c>
      <c r="B10" s="3">
        <v>5</v>
      </c>
      <c r="C10">
        <f>5*100/142</f>
        <v>3.5211267605633805</v>
      </c>
    </row>
    <row r="11" spans="1:3" x14ac:dyDescent="0.25">
      <c r="A11" s="3" t="s">
        <v>19</v>
      </c>
      <c r="B11" s="3">
        <v>4</v>
      </c>
      <c r="C11">
        <f>4*100/142</f>
        <v>2.816901408450704</v>
      </c>
    </row>
    <row r="12" spans="1:3" x14ac:dyDescent="0.25">
      <c r="A12" s="3" t="s">
        <v>274</v>
      </c>
      <c r="B12" s="3">
        <v>3</v>
      </c>
      <c r="C12">
        <f>3*100/142</f>
        <v>2.112676056338028</v>
      </c>
    </row>
    <row r="13" spans="1:3" x14ac:dyDescent="0.25">
      <c r="A13" s="3" t="s">
        <v>71</v>
      </c>
      <c r="B13" s="3">
        <v>3</v>
      </c>
      <c r="C13">
        <f>3*100/142</f>
        <v>2.112676056338028</v>
      </c>
    </row>
    <row r="14" spans="1:3" x14ac:dyDescent="0.25">
      <c r="A14" s="3" t="s">
        <v>255</v>
      </c>
      <c r="B14" s="3">
        <v>2</v>
      </c>
      <c r="C14">
        <f>2*100/142</f>
        <v>1.408450704225352</v>
      </c>
    </row>
    <row r="15" spans="1:3" x14ac:dyDescent="0.25">
      <c r="A15" s="3" t="s">
        <v>140</v>
      </c>
      <c r="B15" s="3">
        <v>1</v>
      </c>
      <c r="C15">
        <f>1*100/142</f>
        <v>0.70422535211267601</v>
      </c>
    </row>
    <row r="16" spans="1:3" x14ac:dyDescent="0.25">
      <c r="A16" s="5" t="s">
        <v>2</v>
      </c>
      <c r="B16" s="3">
        <v>1</v>
      </c>
    </row>
    <row r="17" spans="1:2" x14ac:dyDescent="0.25">
      <c r="A17" s="3" t="s">
        <v>69</v>
      </c>
      <c r="B17" s="3">
        <v>1</v>
      </c>
    </row>
    <row r="18" spans="1:2" ht="57" x14ac:dyDescent="0.25">
      <c r="A18" s="5" t="s">
        <v>10</v>
      </c>
      <c r="B18" s="3">
        <v>1</v>
      </c>
    </row>
    <row r="19" spans="1:2" x14ac:dyDescent="0.25">
      <c r="A19" s="3" t="s">
        <v>133</v>
      </c>
      <c r="B19" s="3">
        <v>1</v>
      </c>
    </row>
    <row r="20" spans="1:2" x14ac:dyDescent="0.25">
      <c r="A20" s="3" t="s">
        <v>26</v>
      </c>
      <c r="B20" s="3">
        <v>1</v>
      </c>
    </row>
    <row r="21" spans="1:2" x14ac:dyDescent="0.25">
      <c r="A21" s="3" t="s">
        <v>141</v>
      </c>
      <c r="B21" s="3">
        <v>1</v>
      </c>
    </row>
    <row r="22" spans="1:2" x14ac:dyDescent="0.25">
      <c r="A22" s="3" t="s">
        <v>247</v>
      </c>
      <c r="B22" s="3">
        <v>1</v>
      </c>
    </row>
    <row r="23" spans="1:2" ht="60" x14ac:dyDescent="0.25">
      <c r="A23" s="8" t="s">
        <v>75</v>
      </c>
      <c r="B23" s="3">
        <v>1</v>
      </c>
    </row>
    <row r="24" spans="1:2" x14ac:dyDescent="0.25">
      <c r="A24" s="3" t="s">
        <v>80</v>
      </c>
      <c r="B24" s="3">
        <v>1</v>
      </c>
    </row>
    <row r="25" spans="1:2" x14ac:dyDescent="0.25">
      <c r="A25" s="3" t="s">
        <v>83</v>
      </c>
      <c r="B25" s="3">
        <v>1</v>
      </c>
    </row>
    <row r="26" spans="1:2" x14ac:dyDescent="0.25">
      <c r="A26" s="3" t="s">
        <v>154</v>
      </c>
      <c r="B26" s="3">
        <v>1</v>
      </c>
    </row>
    <row r="27" spans="1:2" x14ac:dyDescent="0.25">
      <c r="A27" s="3" t="s">
        <v>275</v>
      </c>
      <c r="B27" s="3">
        <v>1</v>
      </c>
    </row>
    <row r="28" spans="1:2" ht="30" x14ac:dyDescent="0.25">
      <c r="A28" s="8" t="s">
        <v>48</v>
      </c>
      <c r="B28" s="3">
        <v>1</v>
      </c>
    </row>
    <row r="29" spans="1:2" x14ac:dyDescent="0.25">
      <c r="A29" s="3" t="s">
        <v>172</v>
      </c>
      <c r="B29" s="3">
        <v>1</v>
      </c>
    </row>
    <row r="30" spans="1:2" x14ac:dyDescent="0.25">
      <c r="A30" s="3" t="s">
        <v>96</v>
      </c>
      <c r="B30" s="3">
        <v>1</v>
      </c>
    </row>
    <row r="31" spans="1:2" x14ac:dyDescent="0.25">
      <c r="A31" s="3" t="s">
        <v>68</v>
      </c>
      <c r="B31" s="3">
        <v>1</v>
      </c>
    </row>
    <row r="32" spans="1:2" ht="30" x14ac:dyDescent="0.25">
      <c r="A32" s="8" t="s">
        <v>125</v>
      </c>
      <c r="B32" s="3">
        <v>1</v>
      </c>
    </row>
    <row r="33" spans="1:2" x14ac:dyDescent="0.25">
      <c r="A33" s="3" t="s">
        <v>148</v>
      </c>
      <c r="B33" s="3">
        <v>1</v>
      </c>
    </row>
    <row r="34" spans="1:2" ht="60" x14ac:dyDescent="0.25">
      <c r="A34" s="8" t="s">
        <v>150</v>
      </c>
      <c r="B34" s="3">
        <v>1</v>
      </c>
    </row>
    <row r="35" spans="1:2" x14ac:dyDescent="0.25">
      <c r="A35" s="3" t="s">
        <v>235</v>
      </c>
      <c r="B35" s="3">
        <v>1</v>
      </c>
    </row>
    <row r="36" spans="1:2" x14ac:dyDescent="0.25">
      <c r="A36" s="3" t="s">
        <v>249</v>
      </c>
      <c r="B36" s="3">
        <v>1</v>
      </c>
    </row>
    <row r="37" spans="1:2" x14ac:dyDescent="0.25">
      <c r="A37" s="3" t="s">
        <v>256</v>
      </c>
      <c r="B37" s="3">
        <v>1</v>
      </c>
    </row>
    <row r="38" spans="1:2" x14ac:dyDescent="0.25">
      <c r="A38" s="3" t="s">
        <v>259</v>
      </c>
      <c r="B38" s="3">
        <v>1</v>
      </c>
    </row>
    <row r="39" spans="1:2" x14ac:dyDescent="0.25">
      <c r="A39" s="3" t="s">
        <v>21</v>
      </c>
      <c r="B39" s="3">
        <v>1</v>
      </c>
    </row>
    <row r="40" spans="1:2" x14ac:dyDescent="0.25">
      <c r="A40" s="3" t="s">
        <v>160</v>
      </c>
      <c r="B40" s="3">
        <v>1</v>
      </c>
    </row>
    <row r="41" spans="1:2" x14ac:dyDescent="0.25">
      <c r="A41" s="3" t="s">
        <v>258</v>
      </c>
      <c r="B41" s="3">
        <v>1</v>
      </c>
    </row>
    <row r="42" spans="1:2" x14ac:dyDescent="0.25">
      <c r="A42" s="3" t="s">
        <v>272</v>
      </c>
      <c r="B42" s="3">
        <v>1</v>
      </c>
    </row>
    <row r="43" spans="1:2" x14ac:dyDescent="0.25">
      <c r="A43" s="3" t="s">
        <v>97</v>
      </c>
      <c r="B43" s="3">
        <v>1</v>
      </c>
    </row>
    <row r="44" spans="1:2" x14ac:dyDescent="0.25">
      <c r="A44" s="3" t="s">
        <v>139</v>
      </c>
      <c r="B44" s="3">
        <v>1</v>
      </c>
    </row>
    <row r="45" spans="1:2" x14ac:dyDescent="0.25">
      <c r="A45" s="3" t="s">
        <v>62</v>
      </c>
      <c r="B45" s="3">
        <v>1</v>
      </c>
    </row>
    <row r="46" spans="1:2" x14ac:dyDescent="0.25">
      <c r="A46" s="3" t="s">
        <v>105</v>
      </c>
      <c r="B46" s="3">
        <v>1</v>
      </c>
    </row>
    <row r="47" spans="1:2" x14ac:dyDescent="0.25">
      <c r="A47" s="3" t="s">
        <v>167</v>
      </c>
      <c r="B47" s="3">
        <v>1</v>
      </c>
    </row>
    <row r="48" spans="1:2" x14ac:dyDescent="0.25">
      <c r="A48" s="3" t="s">
        <v>245</v>
      </c>
      <c r="B48" s="3">
        <v>1</v>
      </c>
    </row>
    <row r="49" spans="1:2" x14ac:dyDescent="0.25">
      <c r="A49" s="3" t="s">
        <v>43</v>
      </c>
      <c r="B49" s="3">
        <v>1</v>
      </c>
    </row>
    <row r="50" spans="1:2" ht="60" x14ac:dyDescent="0.25">
      <c r="A50" s="8" t="s">
        <v>65</v>
      </c>
      <c r="B50" s="3">
        <v>1</v>
      </c>
    </row>
    <row r="51" spans="1:2" x14ac:dyDescent="0.25">
      <c r="A51" s="3" t="s">
        <v>128</v>
      </c>
      <c r="B51" s="3">
        <v>1</v>
      </c>
    </row>
    <row r="52" spans="1:2" x14ac:dyDescent="0.25">
      <c r="A52" s="3" t="s">
        <v>142</v>
      </c>
      <c r="B52" s="3">
        <v>1</v>
      </c>
    </row>
    <row r="53" spans="1:2" x14ac:dyDescent="0.25">
      <c r="A53" s="3" t="s">
        <v>252</v>
      </c>
      <c r="B53" s="3">
        <v>1</v>
      </c>
    </row>
    <row r="54" spans="1:2" x14ac:dyDescent="0.25">
      <c r="A54" s="3" t="s">
        <v>257</v>
      </c>
      <c r="B54" s="3">
        <v>1</v>
      </c>
    </row>
    <row r="55" spans="1:2" x14ac:dyDescent="0.25">
      <c r="A55" s="3" t="s">
        <v>246</v>
      </c>
      <c r="B55" s="3">
        <v>1</v>
      </c>
    </row>
    <row r="56" spans="1:2" x14ac:dyDescent="0.25">
      <c r="A56" s="3" t="s">
        <v>248</v>
      </c>
      <c r="B56" s="3">
        <v>1</v>
      </c>
    </row>
    <row r="57" spans="1:2" ht="60" x14ac:dyDescent="0.25">
      <c r="A57" s="8" t="s">
        <v>87</v>
      </c>
      <c r="B57" s="3">
        <v>1</v>
      </c>
    </row>
    <row r="58" spans="1:2" x14ac:dyDescent="0.25">
      <c r="B58" s="3">
        <f>SUM(B1:B57)</f>
        <v>142</v>
      </c>
    </row>
  </sheetData>
  <sortState xmlns:xlrd2="http://schemas.microsoft.com/office/spreadsheetml/2017/richdata2" ref="A2:B69">
    <sortCondition descending="1" ref="B1:B6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Sheet1</vt:lpstr>
      <vt:lpstr>Sayfa3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M.Melih Tüfekcioğlu</cp:lastModifiedBy>
  <dcterms:created xsi:type="dcterms:W3CDTF">2015-06-05T18:17:20Z</dcterms:created>
  <dcterms:modified xsi:type="dcterms:W3CDTF">2026-03-13T13:34:16Z</dcterms:modified>
</cp:coreProperties>
</file>